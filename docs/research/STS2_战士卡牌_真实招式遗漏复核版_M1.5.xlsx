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5e434a6b8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总表" sheetId="1" r:id="R5df4010b951943b5"/>
    <x:sheet xmlns:r="http://schemas.openxmlformats.org/officeDocument/2006/relationships" name="说明与统计" sheetId="2" r:id="R437f5978bebb44eb"/>
    <x:sheet xmlns:r="http://schemas.openxmlformats.org/officeDocument/2006/relationships" name="稀有度变更" sheetId="3" r:id="R7576ff16d2a4470a"/>
    <x:sheet xmlns:r="http://schemas.openxmlformats.org/officeDocument/2006/relationships" name="真实招式目录" sheetId="4" r:id="R75e59330df424f04"/>
    <x:sheet xmlns:r="http://schemas.openxmlformats.org/officeDocument/2006/relationships" name="唯一性校验" sheetId="5" r:id="Re7c373f1d48946be"/>
    <x:sheet xmlns:r="http://schemas.openxmlformats.org/officeDocument/2006/relationships" name="时代与强度校验" sheetId="6" r:id="R0425122f5ab442d0"/>
    <x:sheet xmlns:r="http://schemas.openxmlformats.org/officeDocument/2006/relationships" name="剔除记录" sheetId="7" r:id="R3ba493a4536f4fd9"/>
    <x:sheet xmlns:r="http://schemas.openxmlformats.org/officeDocument/2006/relationships" name="写轮眼易伤校验" sheetId="8" r:id="R44b16d7069994816"/>
    <x:sheet xmlns:r="http://schemas.openxmlformats.org/officeDocument/2006/relationships" name="面板命名规范" sheetId="9" r:id="R357c4397134b417a"/>
    <x:sheet xmlns:r="http://schemas.openxmlformats.org/officeDocument/2006/relationships" name="目录复核变更" sheetId="10" r:id="R6a369dbf4e874428"/>
    <x:sheet xmlns:r="http://schemas.openxmlformats.org/officeDocument/2006/relationships" name="Web遗漏复核" sheetId="11" r:id="R3cf779ea2fde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C1D5F"/>
      <x:name val="Carlito"/>
    </x:font>
    <x:font>
      <x:sz val="10"/>
      <x:color rgb="FF7C2D12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4"/>
      <x:color rgb="FF312E81"/>
      <x:name val="Carlito"/>
    </x:font>
    <x:font>
      <x:b/>
      <x:sz val="11"/>
      <x:color rgb="FFFFFFFF"/>
      <x:name val="Carlito"/>
    </x:font>
    <x:font>
      <x:b/>
      <x:sz val="11"/>
      <x:color rgb="FF374151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0"/>
      <x:color rgb="FF4C1D95"/>
      <x:name val="Carlito"/>
    </x:font>
    <x:font>
      <x:b/>
      <x:sz val="18"/>
      <x:color rgb="FF312E81"/>
      <x:name val="Carlito"/>
    </x:font>
    <x:font>
      <x:sz val="9"/>
      <x:color rgb="FF4B3520"/>
      <x:name val="Carlito"/>
    </x:font>
    <x:font>
      <x:b/>
      <x:sz val="9"/>
      <x:color rgb="FF065F46"/>
      <x:name val="Carlito"/>
    </x:font>
    <x:font>
      <x:b/>
      <x:sz val="9"/>
      <x:color rgb="FF9A3412"/>
      <x:name val="Carlito"/>
    </x:font>
    <x:font>
      <x:sz val="9"/>
      <x:color rgb="FF334155"/>
      <x:name val="Carlito"/>
    </x:font>
    <x:font>
      <x:b/>
      <x:sz val="9"/>
      <x:color rgb="FF6B21A8"/>
      <x:name val="Carlito"/>
    </x:font>
    <x:font>
      <x:b/>
      <x:sz val="9"/>
      <x:color rgb="FF5B21B6"/>
      <x:name val="Carlito"/>
    </x:font>
    <x:font>
      <x:b/>
      <x:sz val="9"/>
      <x:color rgb="FF991B1B"/>
      <x:name val="Carlito"/>
    </x:font>
    <x:font>
      <x:b/>
      <x:sz val="9"/>
      <x:name val="Carlito"/>
    </x:font>
    <x:font>
      <x:b/>
      <x:sz val="11"/>
      <x:color rgb="FF9A3412"/>
      <x:name val="Carlito"/>
    </x:font>
    <x:font>
      <x:b/>
      <x:sz val="9"/>
      <x:color rgb="FFFFFFFF"/>
      <x:name val="Carlito"/>
    </x:font>
    <x:font>
      <x:b/>
      <x:sz val="10"/>
      <x:color rgb="FF7C2D12"/>
      <x:name val="Carlito"/>
    </x:font>
    <x:font>
      <x:b/>
      <x:sz val="9"/>
      <x:color rgb="FF7C2D12"/>
      <x:name val="Carlito"/>
    </x:font>
  </x:fonts>
  <x:fills count="70">
    <x:fill>
      <x:patternFill patternType="none"/>
    </x:fill>
    <x:fill>
      <x:patternFill patternType="gray125"/>
    </x:fill>
    <x:fill>
      <x:patternFill patternType="solid">
        <x:fgColor rgb="FF2A123D"/>
      </x:patternFill>
    </x:fill>
    <x:fill>
      <x:patternFill patternType="solid">
        <x:fgColor rgb="FFF3EDF8"/>
      </x:patternFill>
    </x:fill>
    <x:fill>
      <x:patternFill patternType="solid">
        <x:fgColor rgb="FFFFF4E5"/>
      </x:patternFill>
    </x:fill>
    <x:fill>
      <x:patternFill patternType="solid">
        <x:fgColor rgb="FF6B1E3F"/>
      </x:patternFill>
    </x:fill>
    <x:fill>
      <x:patternFill patternType="solid">
        <x:fgColor rgb="FFEDE9FE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CE7F3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  <x:fill>
      <x:patternFill patternType="solid">
        <x:fgColor rgb="FF6B1E3F"/>
      </x:patternFill>
    </x:fill>
    <x:fill>
      <x:patternFill patternType="solid">
        <x:fgColor rgb="FFFFFDF5"/>
      </x:patternFill>
    </x:fill>
    <x:fill>
      <x:patternFill patternType="solid">
        <x:fgColor rgb="FFF3F4F6"/>
      </x:patternFill>
    </x:fill>
    <x:fill>
      <x:patternFill patternType="solid">
        <x:fgColor rgb="FF6B1E3F"/>
      </x:patternFill>
    </x:fill>
    <x:fill>
      <x:patternFill patternType="solid">
        <x:fgColor rgb="FFECFDF5"/>
      </x:patternFill>
    </x:fill>
    <x:fill>
      <x:patternFill patternType="solid">
        <x:fgColor rgb="FFF0F9FF"/>
      </x:patternFill>
    </x:fill>
    <x:fill>
      <x:patternFill patternType="solid">
        <x:fgColor rgb="FF2A123D"/>
      </x:patternFill>
    </x:fill>
    <x:fill>
      <x:patternFill patternType="solid">
        <x:fgColor rgb="FF6B1E3F"/>
      </x:patternFill>
    </x:fill>
    <x:fill>
      <x:patternFill patternType="solid">
        <x:fgColor rgb="FFFFF7ED"/>
      </x:patternFill>
    </x:fill>
    <x:fill>
      <x:patternFill patternType="solid">
        <x:fgColor rgb="FFF5F3FF"/>
      </x:patternFill>
    </x:fill>
    <x:fill>
      <x:patternFill patternType="solid">
        <x:fgColor rgb="FFEFF6FF"/>
      </x:patternFill>
    </x:fill>
    <x:fill>
      <x:patternFill patternType="solid">
        <x:fgColor rgb="FF2A123D"/>
      </x:patternFill>
    </x:fill>
    <x:fill>
      <x:patternFill patternType="solid">
        <x:fgColor rgb="FFF8FAFC"/>
      </x:patternFill>
    </x:fill>
    <x:fill>
      <x:patternFill patternType="solid">
        <x:fgColor rgb="FFF8FAFC"/>
      </x:patternFill>
    </x:fill>
    <x:fill>
      <x:patternFill patternType="solid">
        <x:fgColor rgb="FF6B1E3F"/>
      </x:patternFill>
    </x:fill>
    <x:fill>
      <x:patternFill patternType="solid">
        <x:fgColor rgb="FFF8FAFC"/>
      </x:patternFill>
    </x:fill>
    <x:fill>
      <x:patternFill patternType="solid">
        <x:fgColor rgb="FF5B1738"/>
      </x:patternFill>
    </x:fill>
    <x:fill>
      <x:patternFill patternType="solid">
        <x:fgColor rgb="FFFFF7ED"/>
      </x:patternFill>
    </x:fill>
    <x:fill>
      <x:patternFill patternType="solid">
        <x:fgColor rgb="FFF3E8FF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2A123D"/>
      </x:patternFill>
    </x:fill>
    <x:fill>
      <x:patternFill patternType="solid">
        <x:fgColor rgb="FF2A123D"/>
      </x:patternFill>
    </x:fill>
    <x:fill>
      <x:patternFill patternType="solid">
        <x:fgColor rgb="FF5B1738"/>
      </x:patternFill>
    </x:fill>
    <x:fill>
      <x:patternFill patternType="solid">
        <x:fgColor rgb="FF5B1738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5F3FF"/>
      </x:patternFill>
    </x:fill>
    <x:fill>
      <x:patternFill patternType="solid">
        <x:fgColor rgb="FFF8FAFC"/>
      </x:patternFill>
    </x:fill>
    <x:fill>
      <x:patternFill patternType="solid">
        <x:fgColor rgb="FF2A123D"/>
      </x:patternFill>
    </x:fill>
    <x:fill>
      <x:patternFill patternType="solid">
        <x:fgColor rgb="FF5B1738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2A123D"/>
      </x:patternFill>
    </x:fill>
    <x:fill>
      <x:patternFill patternType="solid">
        <x:fgColor rgb="FFF8FAFC"/>
      </x:patternFill>
    </x:fill>
    <x:fill>
      <x:patternFill patternType="solid">
        <x:fgColor rgb="FF40152C"/>
      </x:patternFill>
    </x:fill>
    <x:fill>
      <x:patternFill patternType="solid">
        <x:fgColor rgb="FFFFF1E6"/>
      </x:patternFill>
    </x:fill>
    <x:fill>
      <x:patternFill patternType="solid">
        <x:fgColor rgb="FFFFFBEB"/>
      </x:patternFill>
    </x:fill>
    <x:fill>
      <x:patternFill patternType="solid">
        <x:fgColor rgb="FFFEF2F2"/>
      </x:patternFill>
    </x:fill>
    <x:fill>
      <x:patternFill patternType="solid">
        <x:fgColor rgb="FF2A123D"/>
      </x:patternFill>
    </x:fill>
    <x:fill>
      <x:patternFill patternType="solid">
        <x:fgColor rgb="FFF8FAFC"/>
      </x:patternFill>
    </x:fill>
    <x:fill>
      <x:patternFill patternType="solid">
        <x:fgColor rgb="FF40152C"/>
      </x:patternFill>
    </x:fill>
    <x:fill>
      <x:patternFill patternType="solid">
        <x:fgColor rgb="FFFFF1E6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2A123D"/>
      </x:patternFill>
    </x:fill>
    <x:fill>
      <x:patternFill patternType="solid">
        <x:fgColor rgb="FFF8FAFC"/>
      </x:patternFill>
    </x:fill>
    <x:fill>
      <x:patternFill patternType="solid">
        <x:fgColor rgb="FF2A123D"/>
      </x:patternFill>
    </x:fill>
    <x:fill>
      <x:patternFill patternType="solid">
        <x:fgColor rgb="FFFFF4CC"/>
      </x:patternFill>
    </x:fill>
    <x:fill>
      <x:patternFill patternType="solid">
        <x:fgColor rgb="FF40152C"/>
      </x:patternFill>
    </x:fill>
    <x:fill>
      <x:patternFill patternType="solid">
        <x:fgColor rgb="FFFFF1B8"/>
      </x:patternFill>
    </x:fill>
    <x:fill>
      <x:patternFill patternType="solid">
        <x:fgColor rgb="FF2A123D"/>
      </x:patternFill>
    </x:fill>
    <x:fill>
      <x:patternFill patternType="solid">
        <x:fgColor rgb="FFFFF4CC"/>
      </x:patternFill>
    </x:fill>
    <x:fill>
      <x:patternFill patternType="solid">
        <x:fgColor rgb="FF40152C"/>
      </x:patternFill>
    </x:fill>
    <x:fill>
      <x:patternFill patternType="solid">
        <x:fgColor rgb="FFFFF1B8"/>
      </x:patternFill>
    </x:fill>
  </x:fills>
  <x:borders count="30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</x:borders>
  <x:cellStyleXfs count="1">
    <x:xf numFmtId="0" fontId="0" fillId="0" borderId="0"/>
  </x:cellStyleXfs>
  <x:cellXfs count="18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5" fillId="0" borderId="19" xfId="0" applyNumberFormat="1" applyFont="1" applyFill="1" applyBorder="1" applyAlignment="1">
      <x:alignment horizontal="center" vertical="top" wrapText="1"/>
    </x:xf>
    <x:xf numFmtId="0" fontId="5" fillId="0" borderId="21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19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2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2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4" xfId="0" applyNumberFormat="1" applyFont="1" applyFill="1" applyBorder="1"/>
    <x:xf numFmtId="0" fontId="6" fillId="6" borderId="25" xfId="0" applyNumberFormat="1" applyFont="1" applyFill="1" applyBorder="1"/>
    <x:xf numFmtId="0" fontId="6" fillId="6" borderId="26" xfId="0" applyNumberFormat="1" applyFont="1" applyFill="1" applyBorder="1"/>
    <x:xf numFmtId="0" fontId="6" fillId="6" borderId="27" xfId="0" applyNumberFormat="1" applyFont="1" applyFill="1" applyBorder="1"/>
    <x:xf numFmtId="0" fontId="6" fillId="6" borderId="28" xfId="0" applyNumberFormat="1" applyFont="1" applyFill="1" applyBorder="1"/>
    <x:xf numFmtId="0" fontId="6" fillId="6" borderId="29" xfId="0" applyNumberFormat="1" applyFont="1" applyFill="1" applyBorder="1"/>
    <x:xf numFmtId="0" fontId="6" fillId="6" borderId="24" xfId="0" applyNumberFormat="1" applyFont="1" applyFill="1" applyBorder="1" applyAlignment="1">
      <x:alignment wrapText="1"/>
    </x:xf>
    <x:xf numFmtId="0" fontId="6" fillId="6" borderId="25" xfId="0" applyNumberFormat="1" applyFont="1" applyFill="1" applyBorder="1" applyAlignment="1">
      <x:alignment wrapText="1"/>
    </x:xf>
    <x:xf numFmtId="0" fontId="6" fillId="6" borderId="26" xfId="0" applyNumberFormat="1" applyFont="1" applyFill="1" applyBorder="1" applyAlignment="1">
      <x:alignment wrapText="1"/>
    </x:xf>
    <x:xf numFmtId="0" fontId="6" fillId="6" borderId="27" xfId="0" applyNumberFormat="1" applyFont="1" applyFill="1" applyBorder="1" applyAlignment="1">
      <x:alignment wrapText="1"/>
    </x:xf>
    <x:xf numFmtId="0" fontId="6" fillId="6" borderId="28" xfId="0" applyNumberFormat="1" applyFont="1" applyFill="1" applyBorder="1" applyAlignment="1">
      <x:alignment wrapText="1"/>
    </x:xf>
    <x:xf numFmtId="0" fontId="6" fillId="6" borderId="29" xfId="0" applyNumberFormat="1" applyFont="1" applyFill="1" applyBorder="1" applyAlignment="1">
      <x:alignment wrapText="1"/>
    </x:xf>
    <x:xf numFmtId="0" fontId="6" fillId="6" borderId="24" xfId="0" applyNumberFormat="1" applyFont="1" applyFill="1" applyBorder="1" applyAlignment="1">
      <x:alignment horizontal="center" wrapText="1"/>
    </x:xf>
    <x:xf numFmtId="0" fontId="6" fillId="6" borderId="25" xfId="0" applyNumberFormat="1" applyFont="1" applyFill="1" applyBorder="1" applyAlignment="1">
      <x:alignment horizontal="center" wrapText="1"/>
    </x:xf>
    <x:xf numFmtId="0" fontId="6" fillId="6" borderId="26" xfId="0" applyNumberFormat="1" applyFont="1" applyFill="1" applyBorder="1" applyAlignment="1">
      <x:alignment horizontal="center" wrapText="1"/>
    </x:xf>
    <x:xf numFmtId="0" fontId="6" fillId="6" borderId="27" xfId="0" applyNumberFormat="1" applyFont="1" applyFill="1" applyBorder="1" applyAlignment="1">
      <x:alignment horizontal="center" wrapText="1"/>
    </x:xf>
    <x:xf numFmtId="0" fontId="6" fillId="6" borderId="28" xfId="0" applyNumberFormat="1" applyFont="1" applyFill="1" applyBorder="1" applyAlignment="1">
      <x:alignment horizontal="center" wrapText="1"/>
    </x:xf>
    <x:xf numFmtId="0" fontId="6" fillId="6" borderId="29" xfId="0" applyNumberFormat="1" applyFont="1" applyFill="1" applyBorder="1" applyAlignment="1">
      <x:alignment horizontal="center" wrapText="1"/>
    </x:xf>
    <x:xf numFmtId="0" fontId="6" fillId="6" borderId="24" xfId="0" applyNumberFormat="1" applyFont="1" applyFill="1" applyBorder="1" applyAlignment="1">
      <x:alignment horizontal="center" vertical="center" wrapText="1"/>
    </x:xf>
    <x:xf numFmtId="0" fontId="6" fillId="6" borderId="25" xfId="0" applyNumberFormat="1" applyFont="1" applyFill="1" applyBorder="1" applyAlignment="1">
      <x:alignment horizontal="center" vertical="center" wrapText="1"/>
    </x:xf>
    <x:xf numFmtId="0" fontId="6" fillId="6" borderId="26" xfId="0" applyNumberFormat="1" applyFont="1" applyFill="1" applyBorder="1" applyAlignment="1">
      <x:alignment horizontal="center" vertical="center" wrapText="1"/>
    </x:xf>
    <x:xf numFmtId="0" fontId="6" fillId="6" borderId="27" xfId="0" applyNumberFormat="1" applyFont="1" applyFill="1" applyBorder="1" applyAlignment="1">
      <x:alignment horizontal="center" vertical="center" wrapText="1"/>
    </x:xf>
    <x:xf numFmtId="0" fontId="6" fillId="6" borderId="28" xfId="0" applyNumberFormat="1" applyFont="1" applyFill="1" applyBorder="1" applyAlignment="1">
      <x:alignment horizontal="center" vertical="center" wrapText="1"/>
    </x:xf>
    <x:xf numFmtId="0" fontId="6" fillId="6" borderId="29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30" xfId="0" applyNumberFormat="1" applyFont="1" applyFill="1" applyBorder="1"/>
    <x:xf numFmtId="0" fontId="6" fillId="6" borderId="31" xfId="0" applyNumberFormat="1" applyFont="1" applyFill="1" applyBorder="1"/>
    <x:xf numFmtId="0" fontId="6" fillId="6" borderId="32" xfId="0" applyNumberFormat="1" applyFont="1" applyFill="1" applyBorder="1"/>
    <x:xf numFmtId="0" fontId="6" fillId="6" borderId="33" xfId="0" applyNumberFormat="1" applyFont="1" applyFill="1" applyBorder="1"/>
    <x:xf numFmtId="0" fontId="6" fillId="6" borderId="34" xfId="0" applyNumberFormat="1" applyFont="1" applyFill="1" applyBorder="1"/>
    <x:xf numFmtId="0" fontId="6" fillId="6" borderId="35" xfId="0" applyNumberFormat="1" applyFont="1" applyFill="1" applyBorder="1"/>
    <x:xf numFmtId="0" fontId="6" fillId="6" borderId="30" xfId="0" applyNumberFormat="1" applyFont="1" applyFill="1" applyBorder="1" applyAlignment="1">
      <x:alignment wrapText="1"/>
    </x:xf>
    <x:xf numFmtId="0" fontId="6" fillId="6" borderId="31" xfId="0" applyNumberFormat="1" applyFont="1" applyFill="1" applyBorder="1" applyAlignment="1">
      <x:alignment wrapText="1"/>
    </x:xf>
    <x:xf numFmtId="0" fontId="6" fillId="6" borderId="32" xfId="0" applyNumberFormat="1" applyFont="1" applyFill="1" applyBorder="1" applyAlignment="1">
      <x:alignment wrapText="1"/>
    </x:xf>
    <x:xf numFmtId="0" fontId="6" fillId="6" borderId="33" xfId="0" applyNumberFormat="1" applyFont="1" applyFill="1" applyBorder="1" applyAlignment="1">
      <x:alignment wrapText="1"/>
    </x:xf>
    <x:xf numFmtId="0" fontId="6" fillId="6" borderId="34" xfId="0" applyNumberFormat="1" applyFont="1" applyFill="1" applyBorder="1" applyAlignment="1">
      <x:alignment wrapText="1"/>
    </x:xf>
    <x:xf numFmtId="0" fontId="6" fillId="6" borderId="35" xfId="0" applyNumberFormat="1" applyFont="1" applyFill="1" applyBorder="1" applyAlignment="1">
      <x:alignment wrapText="1"/>
    </x:xf>
    <x:xf numFmtId="0" fontId="6" fillId="6" borderId="30" xfId="0" applyNumberFormat="1" applyFont="1" applyFill="1" applyBorder="1" applyAlignment="1">
      <x:alignment horizontal="center" wrapText="1"/>
    </x:xf>
    <x:xf numFmtId="0" fontId="6" fillId="6" borderId="31" xfId="0" applyNumberFormat="1" applyFont="1" applyFill="1" applyBorder="1" applyAlignment="1">
      <x:alignment horizontal="center" wrapText="1"/>
    </x:xf>
    <x:xf numFmtId="0" fontId="6" fillId="6" borderId="32" xfId="0" applyNumberFormat="1" applyFont="1" applyFill="1" applyBorder="1" applyAlignment="1">
      <x:alignment horizontal="center" wrapText="1"/>
    </x:xf>
    <x:xf numFmtId="0" fontId="6" fillId="6" borderId="33" xfId="0" applyNumberFormat="1" applyFont="1" applyFill="1" applyBorder="1" applyAlignment="1">
      <x:alignment horizontal="center" wrapText="1"/>
    </x:xf>
    <x:xf numFmtId="0" fontId="6" fillId="6" borderId="34" xfId="0" applyNumberFormat="1" applyFont="1" applyFill="1" applyBorder="1" applyAlignment="1">
      <x:alignment horizontal="center" wrapText="1"/>
    </x:xf>
    <x:xf numFmtId="0" fontId="6" fillId="6" borderId="35" xfId="0" applyNumberFormat="1" applyFont="1" applyFill="1" applyBorder="1" applyAlignment="1">
      <x:alignment horizontal="center" wrapText="1"/>
    </x:xf>
    <x:xf numFmtId="0" fontId="6" fillId="6" borderId="30" xfId="0" applyNumberFormat="1" applyFont="1" applyFill="1" applyBorder="1" applyAlignment="1">
      <x:alignment horizontal="center" vertical="center" wrapText="1"/>
    </x:xf>
    <x:xf numFmtId="0" fontId="6" fillId="6" borderId="31" xfId="0" applyNumberFormat="1" applyFont="1" applyFill="1" applyBorder="1" applyAlignment="1">
      <x:alignment horizontal="center" vertical="center" wrapText="1"/>
    </x:xf>
    <x:xf numFmtId="0" fontId="6" fillId="6" borderId="32" xfId="0" applyNumberFormat="1" applyFont="1" applyFill="1" applyBorder="1" applyAlignment="1">
      <x:alignment horizontal="center" vertical="center" wrapText="1"/>
    </x:xf>
    <x:xf numFmtId="0" fontId="6" fillId="6" borderId="33" xfId="0" applyNumberFormat="1" applyFont="1" applyFill="1" applyBorder="1" applyAlignment="1">
      <x:alignment horizontal="center" vertical="center" wrapText="1"/>
    </x:xf>
    <x:xf numFmtId="0" fontId="6" fillId="6" borderId="34" xfId="0" applyNumberFormat="1" applyFont="1" applyFill="1" applyBorder="1" applyAlignment="1">
      <x:alignment horizontal="center" vertical="center" wrapText="1"/>
    </x:xf>
    <x:xf numFmtId="0" fontId="6" fillId="6" borderId="3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4" xfId="0" applyNumberFormat="1" applyFont="1" applyFill="1" applyBorder="1"/>
    <x:xf numFmtId="0" fontId="6" fillId="7" borderId="25" xfId="0" applyNumberFormat="1" applyFont="1" applyFill="1" applyBorder="1"/>
    <x:xf numFmtId="0" fontId="6" fillId="7" borderId="26" xfId="0" applyNumberFormat="1" applyFont="1" applyFill="1" applyBorder="1"/>
    <x:xf numFmtId="0" fontId="6" fillId="7" borderId="27" xfId="0" applyNumberFormat="1" applyFont="1" applyFill="1" applyBorder="1"/>
    <x:xf numFmtId="0" fontId="6" fillId="7" borderId="28" xfId="0" applyNumberFormat="1" applyFont="1" applyFill="1" applyBorder="1"/>
    <x:xf numFmtId="0" fontId="6" fillId="7" borderId="29" xfId="0" applyNumberFormat="1" applyFont="1" applyFill="1" applyBorder="1"/>
    <x:xf numFmtId="0" fontId="6" fillId="7" borderId="24" xfId="0" applyNumberFormat="1" applyFont="1" applyFill="1" applyBorder="1" applyAlignment="1">
      <x:alignment wrapText="1"/>
    </x:xf>
    <x:xf numFmtId="0" fontId="6" fillId="7" borderId="25" xfId="0" applyNumberFormat="1" applyFont="1" applyFill="1" applyBorder="1" applyAlignment="1">
      <x:alignment wrapText="1"/>
    </x:xf>
    <x:xf numFmtId="0" fontId="6" fillId="7" borderId="26" xfId="0" applyNumberFormat="1" applyFont="1" applyFill="1" applyBorder="1" applyAlignment="1">
      <x:alignment wrapText="1"/>
    </x:xf>
    <x:xf numFmtId="0" fontId="6" fillId="7" borderId="27" xfId="0" applyNumberFormat="1" applyFont="1" applyFill="1" applyBorder="1" applyAlignment="1">
      <x:alignment wrapText="1"/>
    </x:xf>
    <x:xf numFmtId="0" fontId="6" fillId="7" borderId="28" xfId="0" applyNumberFormat="1" applyFont="1" applyFill="1" applyBorder="1" applyAlignment="1">
      <x:alignment wrapText="1"/>
    </x:xf>
    <x:xf numFmtId="0" fontId="6" fillId="7" borderId="29" xfId="0" applyNumberFormat="1" applyFont="1" applyFill="1" applyBorder="1" applyAlignment="1">
      <x:alignment wrapText="1"/>
    </x:xf>
    <x:xf numFmtId="0" fontId="6" fillId="7" borderId="24" xfId="0" applyNumberFormat="1" applyFont="1" applyFill="1" applyBorder="1" applyAlignment="1">
      <x:alignment horizontal="center" wrapText="1"/>
    </x:xf>
    <x:xf numFmtId="0" fontId="6" fillId="7" borderId="25" xfId="0" applyNumberFormat="1" applyFont="1" applyFill="1" applyBorder="1" applyAlignment="1">
      <x:alignment horizontal="center" wrapText="1"/>
    </x:xf>
    <x:xf numFmtId="0" fontId="6" fillId="7" borderId="26" xfId="0" applyNumberFormat="1" applyFont="1" applyFill="1" applyBorder="1" applyAlignment="1">
      <x:alignment horizontal="center" wrapText="1"/>
    </x:xf>
    <x:xf numFmtId="0" fontId="6" fillId="7" borderId="27" xfId="0" applyNumberFormat="1" applyFont="1" applyFill="1" applyBorder="1" applyAlignment="1">
      <x:alignment horizontal="center" wrapText="1"/>
    </x:xf>
    <x:xf numFmtId="0" fontId="6" fillId="7" borderId="28" xfId="0" applyNumberFormat="1" applyFont="1" applyFill="1" applyBorder="1" applyAlignment="1">
      <x:alignment horizontal="center" wrapText="1"/>
    </x:xf>
    <x:xf numFmtId="0" fontId="6" fillId="7" borderId="29" xfId="0" applyNumberFormat="1" applyFont="1" applyFill="1" applyBorder="1" applyAlignment="1">
      <x:alignment horizontal="center" wrapText="1"/>
    </x:xf>
    <x:xf numFmtId="0" fontId="6" fillId="7" borderId="24" xfId="0" applyNumberFormat="1" applyFont="1" applyFill="1" applyBorder="1" applyAlignment="1">
      <x:alignment horizontal="center" vertical="center" wrapText="1"/>
    </x:xf>
    <x:xf numFmtId="0" fontId="6" fillId="7" borderId="25" xfId="0" applyNumberFormat="1" applyFont="1" applyFill="1" applyBorder="1" applyAlignment="1">
      <x:alignment horizontal="center" vertical="center" wrapText="1"/>
    </x:xf>
    <x:xf numFmtId="0" fontId="6" fillId="7" borderId="26" xfId="0" applyNumberFormat="1" applyFont="1" applyFill="1" applyBorder="1" applyAlignment="1">
      <x:alignment horizontal="center" vertical="center" wrapText="1"/>
    </x:xf>
    <x:xf numFmtId="0" fontId="6" fillId="7" borderId="27" xfId="0" applyNumberFormat="1" applyFont="1" applyFill="1" applyBorder="1" applyAlignment="1">
      <x:alignment horizontal="center" vertical="center" wrapText="1"/>
    </x:xf>
    <x:xf numFmtId="0" fontId="6" fillId="7" borderId="28" xfId="0" applyNumberFormat="1" applyFont="1" applyFill="1" applyBorder="1" applyAlignment="1">
      <x:alignment horizontal="center" vertical="center" wrapText="1"/>
    </x:xf>
    <x:xf numFmtId="0" fontId="6" fillId="7" borderId="2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30" xfId="0" applyNumberFormat="1" applyFont="1" applyFill="1" applyBorder="1"/>
    <x:xf numFmtId="0" fontId="6" fillId="7" borderId="31" xfId="0" applyNumberFormat="1" applyFont="1" applyFill="1" applyBorder="1"/>
    <x:xf numFmtId="0" fontId="6" fillId="7" borderId="32" xfId="0" applyNumberFormat="1" applyFont="1" applyFill="1" applyBorder="1"/>
    <x:xf numFmtId="0" fontId="6" fillId="7" borderId="33" xfId="0" applyNumberFormat="1" applyFont="1" applyFill="1" applyBorder="1"/>
    <x:xf numFmtId="0" fontId="6" fillId="7" borderId="34" xfId="0" applyNumberFormat="1" applyFont="1" applyFill="1" applyBorder="1"/>
    <x:xf numFmtId="0" fontId="6" fillId="7" borderId="35" xfId="0" applyNumberFormat="1" applyFont="1" applyFill="1" applyBorder="1"/>
    <x:xf numFmtId="0" fontId="6" fillId="7" borderId="30" xfId="0" applyNumberFormat="1" applyFont="1" applyFill="1" applyBorder="1" applyAlignment="1">
      <x:alignment wrapText="1"/>
    </x:xf>
    <x:xf numFmtId="0" fontId="6" fillId="7" borderId="31" xfId="0" applyNumberFormat="1" applyFont="1" applyFill="1" applyBorder="1" applyAlignment="1">
      <x:alignment wrapText="1"/>
    </x:xf>
    <x:xf numFmtId="0" fontId="6" fillId="7" borderId="32" xfId="0" applyNumberFormat="1" applyFont="1" applyFill="1" applyBorder="1" applyAlignment="1">
      <x:alignment wrapText="1"/>
    </x:xf>
    <x:xf numFmtId="0" fontId="6" fillId="7" borderId="33" xfId="0" applyNumberFormat="1" applyFont="1" applyFill="1" applyBorder="1" applyAlignment="1">
      <x:alignment wrapText="1"/>
    </x:xf>
    <x:xf numFmtId="0" fontId="6" fillId="7" borderId="34" xfId="0" applyNumberFormat="1" applyFont="1" applyFill="1" applyBorder="1" applyAlignment="1">
      <x:alignment wrapText="1"/>
    </x:xf>
    <x:xf numFmtId="0" fontId="6" fillId="7" borderId="35" xfId="0" applyNumberFormat="1" applyFont="1" applyFill="1" applyBorder="1" applyAlignment="1">
      <x:alignment wrapText="1"/>
    </x:xf>
    <x:xf numFmtId="0" fontId="6" fillId="7" borderId="30" xfId="0" applyNumberFormat="1" applyFont="1" applyFill="1" applyBorder="1" applyAlignment="1">
      <x:alignment horizontal="center" wrapText="1"/>
    </x:xf>
    <x:xf numFmtId="0" fontId="6" fillId="7" borderId="31" xfId="0" applyNumberFormat="1" applyFont="1" applyFill="1" applyBorder="1" applyAlignment="1">
      <x:alignment horizontal="center" wrapText="1"/>
    </x:xf>
    <x:xf numFmtId="0" fontId="6" fillId="7" borderId="32" xfId="0" applyNumberFormat="1" applyFont="1" applyFill="1" applyBorder="1" applyAlignment="1">
      <x:alignment horizontal="center" wrapText="1"/>
    </x:xf>
    <x:xf numFmtId="0" fontId="6" fillId="7" borderId="33" xfId="0" applyNumberFormat="1" applyFont="1" applyFill="1" applyBorder="1" applyAlignment="1">
      <x:alignment horizontal="center" wrapText="1"/>
    </x:xf>
    <x:xf numFmtId="0" fontId="6" fillId="7" borderId="34" xfId="0" applyNumberFormat="1" applyFont="1" applyFill="1" applyBorder="1" applyAlignment="1">
      <x:alignment horizontal="center" wrapText="1"/>
    </x:xf>
    <x:xf numFmtId="0" fontId="6" fillId="7" borderId="35" xfId="0" applyNumberFormat="1" applyFont="1" applyFill="1" applyBorder="1" applyAlignment="1">
      <x:alignment horizontal="center" wrapText="1"/>
    </x:xf>
    <x:xf numFmtId="0" fontId="6" fillId="7" borderId="30" xfId="0" applyNumberFormat="1" applyFont="1" applyFill="1" applyBorder="1" applyAlignment="1">
      <x:alignment horizontal="center" vertical="center" wrapText="1"/>
    </x:xf>
    <x:xf numFmtId="0" fontId="6" fillId="7" borderId="31" xfId="0" applyNumberFormat="1" applyFont="1" applyFill="1" applyBorder="1" applyAlignment="1">
      <x:alignment horizontal="center" vertical="center" wrapText="1"/>
    </x:xf>
    <x:xf numFmtId="0" fontId="6" fillId="7" borderId="32" xfId="0" applyNumberFormat="1" applyFont="1" applyFill="1" applyBorder="1" applyAlignment="1">
      <x:alignment horizontal="center" vertical="center" wrapText="1"/>
    </x:xf>
    <x:xf numFmtId="0" fontId="6" fillId="7" borderId="33" xfId="0" applyNumberFormat="1" applyFont="1" applyFill="1" applyBorder="1" applyAlignment="1">
      <x:alignment horizontal="center" vertical="center" wrapText="1"/>
    </x:xf>
    <x:xf numFmtId="0" fontId="6" fillId="7" borderId="34" xfId="0" applyNumberFormat="1" applyFont="1" applyFill="1" applyBorder="1" applyAlignment="1">
      <x:alignment horizontal="center" vertical="center" wrapText="1"/>
    </x:xf>
    <x:xf numFmtId="0" fontId="6" fillId="7" borderId="3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4" xfId="0" applyNumberFormat="1" applyFont="1" applyFill="1" applyBorder="1"/>
    <x:xf numFmtId="0" fontId="6" fillId="8" borderId="25" xfId="0" applyNumberFormat="1" applyFont="1" applyFill="1" applyBorder="1"/>
    <x:xf numFmtId="0" fontId="6" fillId="8" borderId="26" xfId="0" applyNumberFormat="1" applyFont="1" applyFill="1" applyBorder="1"/>
    <x:xf numFmtId="0" fontId="6" fillId="8" borderId="27" xfId="0" applyNumberFormat="1" applyFont="1" applyFill="1" applyBorder="1"/>
    <x:xf numFmtId="0" fontId="6" fillId="8" borderId="28" xfId="0" applyNumberFormat="1" applyFont="1" applyFill="1" applyBorder="1"/>
    <x:xf numFmtId="0" fontId="6" fillId="8" borderId="29" xfId="0" applyNumberFormat="1" applyFont="1" applyFill="1" applyBorder="1"/>
    <x:xf numFmtId="0" fontId="6" fillId="8" borderId="24" xfId="0" applyNumberFormat="1" applyFont="1" applyFill="1" applyBorder="1" applyAlignment="1">
      <x:alignment wrapText="1"/>
    </x:xf>
    <x:xf numFmtId="0" fontId="6" fillId="8" borderId="25" xfId="0" applyNumberFormat="1" applyFont="1" applyFill="1" applyBorder="1" applyAlignment="1">
      <x:alignment wrapText="1"/>
    </x:xf>
    <x:xf numFmtId="0" fontId="6" fillId="8" borderId="26" xfId="0" applyNumberFormat="1" applyFont="1" applyFill="1" applyBorder="1" applyAlignment="1">
      <x:alignment wrapText="1"/>
    </x:xf>
    <x:xf numFmtId="0" fontId="6" fillId="8" borderId="27" xfId="0" applyNumberFormat="1" applyFont="1" applyFill="1" applyBorder="1" applyAlignment="1">
      <x:alignment wrapText="1"/>
    </x:xf>
    <x:xf numFmtId="0" fontId="6" fillId="8" borderId="28" xfId="0" applyNumberFormat="1" applyFont="1" applyFill="1" applyBorder="1" applyAlignment="1">
      <x:alignment wrapText="1"/>
    </x:xf>
    <x:xf numFmtId="0" fontId="6" fillId="8" borderId="29" xfId="0" applyNumberFormat="1" applyFont="1" applyFill="1" applyBorder="1" applyAlignment="1">
      <x:alignment wrapText="1"/>
    </x:xf>
    <x:xf numFmtId="0" fontId="6" fillId="8" borderId="24" xfId="0" applyNumberFormat="1" applyFont="1" applyFill="1" applyBorder="1" applyAlignment="1">
      <x:alignment horizontal="center" wrapText="1"/>
    </x:xf>
    <x:xf numFmtId="0" fontId="6" fillId="8" borderId="25" xfId="0" applyNumberFormat="1" applyFont="1" applyFill="1" applyBorder="1" applyAlignment="1">
      <x:alignment horizontal="center" wrapText="1"/>
    </x:xf>
    <x:xf numFmtId="0" fontId="6" fillId="8" borderId="26" xfId="0" applyNumberFormat="1" applyFont="1" applyFill="1" applyBorder="1" applyAlignment="1">
      <x:alignment horizontal="center" wrapText="1"/>
    </x:xf>
    <x:xf numFmtId="0" fontId="6" fillId="8" borderId="27" xfId="0" applyNumberFormat="1" applyFont="1" applyFill="1" applyBorder="1" applyAlignment="1">
      <x:alignment horizontal="center" wrapText="1"/>
    </x:xf>
    <x:xf numFmtId="0" fontId="6" fillId="8" borderId="28" xfId="0" applyNumberFormat="1" applyFont="1" applyFill="1" applyBorder="1" applyAlignment="1">
      <x:alignment horizontal="center" wrapText="1"/>
    </x:xf>
    <x:xf numFmtId="0" fontId="6" fillId="8" borderId="29" xfId="0" applyNumberFormat="1" applyFont="1" applyFill="1" applyBorder="1" applyAlignment="1">
      <x:alignment horizontal="center" wrapText="1"/>
    </x:xf>
    <x:xf numFmtId="0" fontId="6" fillId="8" borderId="24" xfId="0" applyNumberFormat="1" applyFont="1" applyFill="1" applyBorder="1" applyAlignment="1">
      <x:alignment horizontal="center" vertical="center" wrapText="1"/>
    </x:xf>
    <x:xf numFmtId="0" fontId="6" fillId="8" borderId="25" xfId="0" applyNumberFormat="1" applyFont="1" applyFill="1" applyBorder="1" applyAlignment="1">
      <x:alignment horizontal="center" vertical="center" wrapText="1"/>
    </x:xf>
    <x:xf numFmtId="0" fontId="6" fillId="8" borderId="26" xfId="0" applyNumberFormat="1" applyFont="1" applyFill="1" applyBorder="1" applyAlignment="1">
      <x:alignment horizontal="center" vertical="center" wrapText="1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6" fillId="8" borderId="28" xfId="0" applyNumberFormat="1" applyFont="1" applyFill="1" applyBorder="1" applyAlignment="1">
      <x:alignment horizontal="center" vertical="center" wrapText="1"/>
    </x:xf>
    <x:xf numFmtId="0" fontId="6" fillId="8" borderId="29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30" xfId="0" applyNumberFormat="1" applyFont="1" applyFill="1" applyBorder="1"/>
    <x:xf numFmtId="0" fontId="6" fillId="8" borderId="31" xfId="0" applyNumberFormat="1" applyFont="1" applyFill="1" applyBorder="1"/>
    <x:xf numFmtId="0" fontId="6" fillId="8" borderId="32" xfId="0" applyNumberFormat="1" applyFont="1" applyFill="1" applyBorder="1"/>
    <x:xf numFmtId="0" fontId="6" fillId="8" borderId="33" xfId="0" applyNumberFormat="1" applyFont="1" applyFill="1" applyBorder="1"/>
    <x:xf numFmtId="0" fontId="6" fillId="8" borderId="34" xfId="0" applyNumberFormat="1" applyFont="1" applyFill="1" applyBorder="1"/>
    <x:xf numFmtId="0" fontId="6" fillId="8" borderId="35" xfId="0" applyNumberFormat="1" applyFont="1" applyFill="1" applyBorder="1"/>
    <x:xf numFmtId="0" fontId="6" fillId="8" borderId="30" xfId="0" applyNumberFormat="1" applyFont="1" applyFill="1" applyBorder="1" applyAlignment="1">
      <x:alignment wrapText="1"/>
    </x:xf>
    <x:xf numFmtId="0" fontId="6" fillId="8" borderId="31" xfId="0" applyNumberFormat="1" applyFont="1" applyFill="1" applyBorder="1" applyAlignment="1">
      <x:alignment wrapText="1"/>
    </x:xf>
    <x:xf numFmtId="0" fontId="6" fillId="8" borderId="32" xfId="0" applyNumberFormat="1" applyFont="1" applyFill="1" applyBorder="1" applyAlignment="1">
      <x:alignment wrapText="1"/>
    </x:xf>
    <x:xf numFmtId="0" fontId="6" fillId="8" borderId="33" xfId="0" applyNumberFormat="1" applyFont="1" applyFill="1" applyBorder="1" applyAlignment="1">
      <x:alignment wrapText="1"/>
    </x:xf>
    <x:xf numFmtId="0" fontId="6" fillId="8" borderId="34" xfId="0" applyNumberFormat="1" applyFont="1" applyFill="1" applyBorder="1" applyAlignment="1">
      <x:alignment wrapText="1"/>
    </x:xf>
    <x:xf numFmtId="0" fontId="6" fillId="8" borderId="35" xfId="0" applyNumberFormat="1" applyFont="1" applyFill="1" applyBorder="1" applyAlignment="1">
      <x:alignment wrapText="1"/>
    </x:xf>
    <x:xf numFmtId="0" fontId="6" fillId="8" borderId="30" xfId="0" applyNumberFormat="1" applyFont="1" applyFill="1" applyBorder="1" applyAlignment="1">
      <x:alignment horizontal="center" wrapText="1"/>
    </x:xf>
    <x:xf numFmtId="0" fontId="6" fillId="8" borderId="31" xfId="0" applyNumberFormat="1" applyFont="1" applyFill="1" applyBorder="1" applyAlignment="1">
      <x:alignment horizontal="center" wrapText="1"/>
    </x:xf>
    <x:xf numFmtId="0" fontId="6" fillId="8" borderId="32" xfId="0" applyNumberFormat="1" applyFont="1" applyFill="1" applyBorder="1" applyAlignment="1">
      <x:alignment horizontal="center" wrapText="1"/>
    </x:xf>
    <x:xf numFmtId="0" fontId="6" fillId="8" borderId="33" xfId="0" applyNumberFormat="1" applyFont="1" applyFill="1" applyBorder="1" applyAlignment="1">
      <x:alignment horizontal="center" wrapText="1"/>
    </x:xf>
    <x:xf numFmtId="0" fontId="6" fillId="8" borderId="34" xfId="0" applyNumberFormat="1" applyFont="1" applyFill="1" applyBorder="1" applyAlignment="1">
      <x:alignment horizontal="center" wrapText="1"/>
    </x:xf>
    <x:xf numFmtId="0" fontId="6" fillId="8" borderId="35" xfId="0" applyNumberFormat="1" applyFont="1" applyFill="1" applyBorder="1" applyAlignment="1">
      <x:alignment horizontal="center" wrapText="1"/>
    </x:xf>
    <x:xf numFmtId="0" fontId="6" fillId="8" borderId="30" xfId="0" applyNumberFormat="1" applyFont="1" applyFill="1" applyBorder="1" applyAlignment="1">
      <x:alignment horizontal="center" vertical="center" wrapText="1"/>
    </x:xf>
    <x:xf numFmtId="0" fontId="6" fillId="8" borderId="31" xfId="0" applyNumberFormat="1" applyFont="1" applyFill="1" applyBorder="1" applyAlignment="1">
      <x:alignment horizontal="center" vertical="center" wrapText="1"/>
    </x:xf>
    <x:xf numFmtId="0" fontId="6" fillId="8" borderId="32" xfId="0" applyNumberFormat="1" applyFont="1" applyFill="1" applyBorder="1" applyAlignment="1">
      <x:alignment horizontal="center" vertical="center" wrapText="1"/>
    </x:xf>
    <x:xf numFmtId="0" fontId="6" fillId="8" borderId="33" xfId="0" applyNumberFormat="1" applyFont="1" applyFill="1" applyBorder="1" applyAlignment="1">
      <x:alignment horizontal="center" vertical="center" wrapText="1"/>
    </x:xf>
    <x:xf numFmtId="0" fontId="6" fillId="8" borderId="34" xfId="0" applyNumberFormat="1" applyFont="1" applyFill="1" applyBorder="1" applyAlignment="1">
      <x:alignment horizontal="center" vertical="center" wrapText="1"/>
    </x:xf>
    <x:xf numFmtId="0" fontId="6" fillId="8" borderId="3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24" xfId="0" applyNumberFormat="1" applyFont="1" applyFill="1" applyBorder="1"/>
    <x:xf numFmtId="0" fontId="6" fillId="9" borderId="25" xfId="0" applyNumberFormat="1" applyFont="1" applyFill="1" applyBorder="1"/>
    <x:xf numFmtId="0" fontId="6" fillId="9" borderId="26" xfId="0" applyNumberFormat="1" applyFont="1" applyFill="1" applyBorder="1"/>
    <x:xf numFmtId="0" fontId="6" fillId="9" borderId="27" xfId="0" applyNumberFormat="1" applyFont="1" applyFill="1" applyBorder="1"/>
    <x:xf numFmtId="0" fontId="6" fillId="9" borderId="28" xfId="0" applyNumberFormat="1" applyFont="1" applyFill="1" applyBorder="1"/>
    <x:xf numFmtId="0" fontId="6" fillId="9" borderId="29" xfId="0" applyNumberFormat="1" applyFont="1" applyFill="1" applyBorder="1"/>
    <x:xf numFmtId="0" fontId="6" fillId="9" borderId="24" xfId="0" applyNumberFormat="1" applyFont="1" applyFill="1" applyBorder="1" applyAlignment="1">
      <x:alignment wrapText="1"/>
    </x:xf>
    <x:xf numFmtId="0" fontId="6" fillId="9" borderId="25" xfId="0" applyNumberFormat="1" applyFont="1" applyFill="1" applyBorder="1" applyAlignment="1">
      <x:alignment wrapText="1"/>
    </x:xf>
    <x:xf numFmtId="0" fontId="6" fillId="9" borderId="26" xfId="0" applyNumberFormat="1" applyFont="1" applyFill="1" applyBorder="1" applyAlignment="1">
      <x:alignment wrapText="1"/>
    </x:xf>
    <x:xf numFmtId="0" fontId="6" fillId="9" borderId="27" xfId="0" applyNumberFormat="1" applyFont="1" applyFill="1" applyBorder="1" applyAlignment="1">
      <x:alignment wrapText="1"/>
    </x:xf>
    <x:xf numFmtId="0" fontId="6" fillId="9" borderId="28" xfId="0" applyNumberFormat="1" applyFont="1" applyFill="1" applyBorder="1" applyAlignment="1">
      <x:alignment wrapText="1"/>
    </x:xf>
    <x:xf numFmtId="0" fontId="6" fillId="9" borderId="29" xfId="0" applyNumberFormat="1" applyFont="1" applyFill="1" applyBorder="1" applyAlignment="1">
      <x:alignment wrapText="1"/>
    </x:xf>
    <x:xf numFmtId="0" fontId="6" fillId="9" borderId="24" xfId="0" applyNumberFormat="1" applyFont="1" applyFill="1" applyBorder="1" applyAlignment="1">
      <x:alignment horizontal="center" wrapText="1"/>
    </x:xf>
    <x:xf numFmtId="0" fontId="6" fillId="9" borderId="25" xfId="0" applyNumberFormat="1" applyFont="1" applyFill="1" applyBorder="1" applyAlignment="1">
      <x:alignment horizontal="center" wrapText="1"/>
    </x:xf>
    <x:xf numFmtId="0" fontId="6" fillId="9" borderId="26" xfId="0" applyNumberFormat="1" applyFont="1" applyFill="1" applyBorder="1" applyAlignment="1">
      <x:alignment horizontal="center" wrapText="1"/>
    </x:xf>
    <x:xf numFmtId="0" fontId="6" fillId="9" borderId="27" xfId="0" applyNumberFormat="1" applyFont="1" applyFill="1" applyBorder="1" applyAlignment="1">
      <x:alignment horizontal="center" wrapText="1"/>
    </x:xf>
    <x:xf numFmtId="0" fontId="6" fillId="9" borderId="28" xfId="0" applyNumberFormat="1" applyFont="1" applyFill="1" applyBorder="1" applyAlignment="1">
      <x:alignment horizontal="center" wrapText="1"/>
    </x:xf>
    <x:xf numFmtId="0" fontId="6" fillId="9" borderId="29" xfId="0" applyNumberFormat="1" applyFont="1" applyFill="1" applyBorder="1" applyAlignment="1">
      <x:alignment horizontal="center" wrapText="1"/>
    </x:xf>
    <x:xf numFmtId="0" fontId="6" fillId="9" borderId="24" xfId="0" applyNumberFormat="1" applyFont="1" applyFill="1" applyBorder="1" applyAlignment="1">
      <x:alignment horizontal="center" vertical="center" wrapText="1"/>
    </x:xf>
    <x:xf numFmtId="0" fontId="6" fillId="9" borderId="25" xfId="0" applyNumberFormat="1" applyFont="1" applyFill="1" applyBorder="1" applyAlignment="1">
      <x:alignment horizontal="center" vertical="center" wrapText="1"/>
    </x:xf>
    <x:xf numFmtId="0" fontId="6" fillId="9" borderId="26" xfId="0" applyNumberFormat="1" applyFont="1" applyFill="1" applyBorder="1" applyAlignment="1">
      <x:alignment horizontal="center" vertical="center" wrapText="1"/>
    </x:xf>
    <x:xf numFmtId="0" fontId="6" fillId="9" borderId="27" xfId="0" applyNumberFormat="1" applyFont="1" applyFill="1" applyBorder="1" applyAlignment="1">
      <x:alignment horizontal="center" vertical="center" wrapText="1"/>
    </x:xf>
    <x:xf numFmtId="0" fontId="6" fillId="9" borderId="28" xfId="0" applyNumberFormat="1" applyFont="1" applyFill="1" applyBorder="1" applyAlignment="1">
      <x:alignment horizontal="center" vertical="center" wrapText="1"/>
    </x:xf>
    <x:xf numFmtId="0" fontId="6" fillId="9" borderId="29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30" xfId="0" applyNumberFormat="1" applyFont="1" applyFill="1" applyBorder="1"/>
    <x:xf numFmtId="0" fontId="6" fillId="9" borderId="31" xfId="0" applyNumberFormat="1" applyFont="1" applyFill="1" applyBorder="1"/>
    <x:xf numFmtId="0" fontId="6" fillId="9" borderId="32" xfId="0" applyNumberFormat="1" applyFont="1" applyFill="1" applyBorder="1"/>
    <x:xf numFmtId="0" fontId="6" fillId="9" borderId="33" xfId="0" applyNumberFormat="1" applyFont="1" applyFill="1" applyBorder="1"/>
    <x:xf numFmtId="0" fontId="6" fillId="9" borderId="34" xfId="0" applyNumberFormat="1" applyFont="1" applyFill="1" applyBorder="1"/>
    <x:xf numFmtId="0" fontId="6" fillId="9" borderId="35" xfId="0" applyNumberFormat="1" applyFont="1" applyFill="1" applyBorder="1"/>
    <x:xf numFmtId="0" fontId="6" fillId="9" borderId="30" xfId="0" applyNumberFormat="1" applyFont="1" applyFill="1" applyBorder="1" applyAlignment="1">
      <x:alignment wrapText="1"/>
    </x:xf>
    <x:xf numFmtId="0" fontId="6" fillId="9" borderId="31" xfId="0" applyNumberFormat="1" applyFont="1" applyFill="1" applyBorder="1" applyAlignment="1">
      <x:alignment wrapText="1"/>
    </x:xf>
    <x:xf numFmtId="0" fontId="6" fillId="9" borderId="32" xfId="0" applyNumberFormat="1" applyFont="1" applyFill="1" applyBorder="1" applyAlignment="1">
      <x:alignment wrapText="1"/>
    </x:xf>
    <x:xf numFmtId="0" fontId="6" fillId="9" borderId="33" xfId="0" applyNumberFormat="1" applyFont="1" applyFill="1" applyBorder="1" applyAlignment="1">
      <x:alignment wrapText="1"/>
    </x:xf>
    <x:xf numFmtId="0" fontId="6" fillId="9" borderId="34" xfId="0" applyNumberFormat="1" applyFont="1" applyFill="1" applyBorder="1" applyAlignment="1">
      <x:alignment wrapText="1"/>
    </x:xf>
    <x:xf numFmtId="0" fontId="6" fillId="9" borderId="35" xfId="0" applyNumberFormat="1" applyFont="1" applyFill="1" applyBorder="1" applyAlignment="1">
      <x:alignment wrapText="1"/>
    </x:xf>
    <x:xf numFmtId="0" fontId="6" fillId="9" borderId="30" xfId="0" applyNumberFormat="1" applyFont="1" applyFill="1" applyBorder="1" applyAlignment="1">
      <x:alignment horizontal="center" wrapText="1"/>
    </x:xf>
    <x:xf numFmtId="0" fontId="6" fillId="9" borderId="31" xfId="0" applyNumberFormat="1" applyFont="1" applyFill="1" applyBorder="1" applyAlignment="1">
      <x:alignment horizontal="center" wrapText="1"/>
    </x:xf>
    <x:xf numFmtId="0" fontId="6" fillId="9" borderId="32" xfId="0" applyNumberFormat="1" applyFont="1" applyFill="1" applyBorder="1" applyAlignment="1">
      <x:alignment horizontal="center" wrapText="1"/>
    </x:xf>
    <x:xf numFmtId="0" fontId="6" fillId="9" borderId="33" xfId="0" applyNumberFormat="1" applyFont="1" applyFill="1" applyBorder="1" applyAlignment="1">
      <x:alignment horizontal="center" wrapText="1"/>
    </x:xf>
    <x:xf numFmtId="0" fontId="6" fillId="9" borderId="34" xfId="0" applyNumberFormat="1" applyFont="1" applyFill="1" applyBorder="1" applyAlignment="1">
      <x:alignment horizontal="center" wrapText="1"/>
    </x:xf>
    <x:xf numFmtId="0" fontId="6" fillId="9" borderId="35" xfId="0" applyNumberFormat="1" applyFont="1" applyFill="1" applyBorder="1" applyAlignment="1">
      <x:alignment horizontal="center" wrapText="1"/>
    </x:xf>
    <x:xf numFmtId="0" fontId="6" fillId="9" borderId="30" xfId="0" applyNumberFormat="1" applyFont="1" applyFill="1" applyBorder="1" applyAlignment="1">
      <x:alignment horizontal="center" vertical="center" wrapText="1"/>
    </x:xf>
    <x:xf numFmtId="0" fontId="6" fillId="9" borderId="31" xfId="0" applyNumberFormat="1" applyFont="1" applyFill="1" applyBorder="1" applyAlignment="1">
      <x:alignment horizontal="center" vertical="center" wrapText="1"/>
    </x:xf>
    <x:xf numFmtId="0" fontId="6" fillId="9" borderId="32" xfId="0" applyNumberFormat="1" applyFont="1" applyFill="1" applyBorder="1" applyAlignment="1">
      <x:alignment horizontal="center" vertical="center" wrapText="1"/>
    </x:xf>
    <x:xf numFmtId="0" fontId="6" fillId="9" borderId="33" xfId="0" applyNumberFormat="1" applyFont="1" applyFill="1" applyBorder="1" applyAlignment="1">
      <x:alignment horizontal="center" vertical="center" wrapText="1"/>
    </x:xf>
    <x:xf numFmtId="0" fontId="6" fillId="9" borderId="34" xfId="0" applyNumberFormat="1" applyFont="1" applyFill="1" applyBorder="1" applyAlignment="1">
      <x:alignment horizontal="center" vertical="center" wrapText="1"/>
    </x:xf>
    <x:xf numFmtId="0" fontId="6" fillId="9" borderId="3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10" borderId="36" xfId="0" applyNumberFormat="1" applyFont="1" applyFill="1" applyBorder="1" applyAlignment="1">
      <x:alignment horizontal="center" vertical="center"/>
    </x:xf>
    <x:xf numFmtId="0" fontId="0" fillId="0" borderId="48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8" fillId="10" borderId="38" xfId="0" applyNumberFormat="1" applyFont="1" applyFill="1" applyBorder="1" applyAlignment="1">
      <x:alignment horizontal="center" vertical="center"/>
    </x:xf>
    <x:xf numFmtId="0" fontId="0" fillId="0" borderId="39" xfId="0" applyNumberFormat="1" applyFont="1" applyFill="1" applyBorder="1" applyAlignment="1">
      <x:alignment vertical="center" wrapText="1"/>
    </x:xf>
    <x:xf numFmtId="0" fontId="8" fillId="10" borderId="40" xfId="0" applyNumberFormat="1" applyFont="1" applyFill="1" applyBorder="1" applyAlignment="1">
      <x:alignment horizontal="center" vertical="center"/>
    </x:xf>
    <x:xf numFmtId="0" fontId="0" fillId="0" borderId="49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8" fillId="10" borderId="42" xfId="0" applyNumberFormat="1" applyFont="1" applyFill="1" applyBorder="1" applyAlignment="1">
      <x:alignment horizontal="center" vertical="center"/>
    </x:xf>
    <x:xf numFmtId="0" fontId="0" fillId="0" borderId="50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8" fillId="10" borderId="44" xfId="0" applyNumberFormat="1" applyFont="1" applyFill="1" applyBorder="1" applyAlignment="1">
      <x:alignment horizontal="center" vertical="center"/>
    </x:xf>
    <x:xf numFmtId="0" fontId="0" fillId="0" borderId="45" xfId="0" applyNumberFormat="1" applyFont="1" applyFill="1" applyBorder="1" applyAlignment="1">
      <x:alignment vertical="center" wrapText="1"/>
    </x:xf>
    <x:xf numFmtId="0" fontId="8" fillId="10" borderId="46" xfId="0" applyNumberFormat="1" applyFont="1" applyFill="1" applyBorder="1" applyAlignment="1">
      <x:alignment horizontal="center" vertical="center"/>
    </x:xf>
    <x:xf numFmtId="0" fontId="0" fillId="0" borderId="51" xfId="0" applyNumberFormat="1" applyFont="1" applyFill="1" applyBorder="1" applyAlignment="1">
      <x:alignment vertical="center" wrapText="1"/>
    </x:xf>
    <x:xf numFmtId="0" fontId="0" fillId="0" borderId="47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1" borderId="1" xfId="0" applyNumberFormat="1" applyFont="1" applyFill="1" applyBorder="1"/>
    <x:xf numFmtId="0" fontId="9" fillId="11" borderId="1" xfId="0" applyNumberFormat="1" applyFont="1" applyFill="1" applyBorder="1"/>
    <x:xf numFmtId="0" fontId="9" fillId="11" borderId="36" xfId="0" applyNumberFormat="1" applyFont="1" applyFill="1" applyBorder="1"/>
    <x:xf numFmtId="0" fontId="0" fillId="0" borderId="48" xfId="0" applyNumberFormat="1" applyFont="1" applyFill="1" applyBorder="1"/>
    <x:xf numFmtId="0" fontId="0" fillId="0" borderId="37" xfId="0" applyNumberFormat="1" applyFont="1" applyFill="1" applyBorder="1"/>
    <x:xf numFmtId="0" fontId="9" fillId="11" borderId="38" xfId="0" applyNumberFormat="1" applyFont="1" applyFill="1" applyBorder="1"/>
    <x:xf numFmtId="0" fontId="0" fillId="0" borderId="0" xfId="0" applyNumberFormat="1" applyFont="1" applyFill="1" applyBorder="1"/>
    <x:xf numFmtId="0" fontId="0" fillId="0" borderId="39" xfId="0" applyNumberFormat="1" applyFont="1" applyFill="1" applyBorder="1"/>
    <x:xf numFmtId="0" fontId="9" fillId="11" borderId="40" xfId="0" applyNumberFormat="1" applyFont="1" applyFill="1" applyBorder="1"/>
    <x:xf numFmtId="0" fontId="0" fillId="0" borderId="49" xfId="0" applyNumberFormat="1" applyFont="1" applyFill="1" applyBorder="1"/>
    <x:xf numFmtId="0" fontId="0" fillId="0" borderId="41" xfId="0" applyNumberFormat="1" applyFont="1" applyFill="1" applyBorder="1"/>
    <x:xf numFmtId="0" fontId="9" fillId="11" borderId="36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9" fillId="11" borderId="38" xfId="0" applyNumberFormat="1" applyFont="1" applyFill="1" applyBorder="1" applyAlignment="1">
      <x:alignment wrapText="1"/>
    </x:xf>
    <x:xf numFmtId="0" fontId="9" fillId="11" borderId="40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9" fillId="11" borderId="36" xfId="0" applyNumberFormat="1" applyFont="1" applyFill="1" applyBorder="1" applyAlignment="1">
      <x:alignment vertical="center" wrapText="1"/>
    </x:xf>
    <x:xf numFmtId="0" fontId="9" fillId="11" borderId="38" xfId="0" applyNumberFormat="1" applyFont="1" applyFill="1" applyBorder="1" applyAlignment="1">
      <x:alignment vertical="center" wrapText="1"/>
    </x:xf>
    <x:xf numFmtId="0" fontId="9" fillId="11" borderId="40" xfId="0" applyNumberFormat="1" applyFont="1" applyFill="1" applyBorder="1" applyAlignment="1">
      <x:alignment vertical="center" wrapText="1"/>
    </x:xf>
    <x:xf numFmtId="0" fontId="9" fillId="11" borderId="42" xfId="0" applyNumberFormat="1" applyFont="1" applyFill="1" applyBorder="1"/>
    <x:xf numFmtId="0" fontId="0" fillId="0" borderId="50" xfId="0" applyNumberFormat="1" applyFont="1" applyFill="1" applyBorder="1"/>
    <x:xf numFmtId="0" fontId="0" fillId="0" borderId="43" xfId="0" applyNumberFormat="1" applyFont="1" applyFill="1" applyBorder="1"/>
    <x:xf numFmtId="0" fontId="9" fillId="11" borderId="44" xfId="0" applyNumberFormat="1" applyFont="1" applyFill="1" applyBorder="1"/>
    <x:xf numFmtId="0" fontId="0" fillId="0" borderId="45" xfId="0" applyNumberFormat="1" applyFont="1" applyFill="1" applyBorder="1"/>
    <x:xf numFmtId="0" fontId="9" fillId="11" borderId="46" xfId="0" applyNumberFormat="1" applyFont="1" applyFill="1" applyBorder="1"/>
    <x:xf numFmtId="0" fontId="0" fillId="0" borderId="51" xfId="0" applyNumberFormat="1" applyFont="1" applyFill="1" applyBorder="1"/>
    <x:xf numFmtId="0" fontId="0" fillId="0" borderId="47" xfId="0" applyNumberFormat="1" applyFont="1" applyFill="1" applyBorder="1"/>
    <x:xf numFmtId="0" fontId="9" fillId="11" borderId="42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9" fillId="11" borderId="44" xfId="0" applyNumberFormat="1" applyFont="1" applyFill="1" applyBorder="1" applyAlignment="1">
      <x:alignment wrapText="1"/>
    </x:xf>
    <x:xf numFmtId="0" fontId="9" fillId="11" borderId="46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9" fillId="11" borderId="42" xfId="0" applyNumberFormat="1" applyFont="1" applyFill="1" applyBorder="1" applyAlignment="1">
      <x:alignment vertical="center" wrapText="1"/>
    </x:xf>
    <x:xf numFmtId="0" fontId="9" fillId="11" borderId="44" xfId="0" applyNumberFormat="1" applyFont="1" applyFill="1" applyBorder="1" applyAlignment="1">
      <x:alignment vertical="center" wrapText="1"/>
    </x:xf>
    <x:xf numFmtId="0" fontId="9" fillId="11" borderId="46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7" fillId="5" borderId="36" xfId="0" applyNumberFormat="1" applyFont="1" applyFill="1" applyBorder="1" applyAlignment="1">
      <x:alignment horizontal="center" wrapText="1"/>
    </x:xf>
    <x:xf numFmtId="0" fontId="7" fillId="5" borderId="48" xfId="0" applyNumberFormat="1" applyFont="1" applyFill="1" applyBorder="1" applyAlignment="1">
      <x:alignment horizontal="center" wrapText="1"/>
    </x:xf>
    <x:xf numFmtId="0" fontId="7" fillId="5" borderId="37" xfId="0" applyNumberFormat="1" applyFont="1" applyFill="1" applyBorder="1" applyAlignment="1">
      <x:alignment horizontal="center" wrapText="1"/>
    </x:xf>
    <x:xf numFmtId="0" fontId="0" fillId="0" borderId="38" xfId="0" applyNumberFormat="1" applyFont="1" applyFill="1" applyBorder="1"/>
    <x:xf numFmtId="0" fontId="0" fillId="0" borderId="40" xfId="0" applyNumberFormat="1" applyFont="1" applyFill="1" applyBorder="1"/>
    <x:xf numFmtId="0" fontId="7" fillId="5" borderId="36" xfId="0" applyNumberFormat="1" applyFont="1" applyFill="1" applyBorder="1" applyAlignment="1">
      <x:alignment horizontal="center" vertical="center" wrapText="1"/>
    </x:xf>
    <x:xf numFmtId="0" fontId="7" fillId="5" borderId="48" xfId="0" applyNumberFormat="1" applyFont="1" applyFill="1" applyBorder="1" applyAlignment="1">
      <x:alignment horizontal="center" vertical="center" wrapText="1"/>
    </x:xf>
    <x:xf numFmtId="0" fontId="7" fillId="5" borderId="37" xfId="0" applyNumberFormat="1" applyFont="1" applyFill="1" applyBorder="1" applyAlignment="1">
      <x:alignment horizontal="center"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7" fillId="5" borderId="42" xfId="0" applyNumberFormat="1" applyFont="1" applyFill="1" applyBorder="1" applyAlignment="1">
      <x:alignment horizontal="center" wrapText="1"/>
    </x:xf>
    <x:xf numFmtId="0" fontId="7" fillId="5" borderId="50" xfId="0" applyNumberFormat="1" applyFont="1" applyFill="1" applyBorder="1" applyAlignment="1">
      <x:alignment horizontal="center" wrapText="1"/>
    </x:xf>
    <x:xf numFmtId="0" fontId="7" fillId="5" borderId="43" xfId="0" applyNumberFormat="1" applyFont="1" applyFill="1" applyBorder="1" applyAlignment="1">
      <x:alignment horizontal="center" wrapText="1"/>
    </x:xf>
    <x:xf numFmtId="0" fontId="0" fillId="0" borderId="44" xfId="0" applyNumberFormat="1" applyFont="1" applyFill="1" applyBorder="1"/>
    <x:xf numFmtId="0" fontId="0" fillId="0" borderId="46" xfId="0" applyNumberFormat="1" applyFont="1" applyFill="1" applyBorder="1"/>
    <x:xf numFmtId="0" fontId="7" fillId="5" borderId="42" xfId="0" applyNumberFormat="1" applyFont="1" applyFill="1" applyBorder="1" applyAlignment="1">
      <x:alignment horizontal="center" vertical="center" wrapText="1"/>
    </x:xf>
    <x:xf numFmtId="0" fontId="7" fillId="5" borderId="50" xfId="0" applyNumberFormat="1" applyFont="1" applyFill="1" applyBorder="1" applyAlignment="1">
      <x:alignment horizontal="center" vertical="center" wrapText="1"/>
    </x:xf>
    <x:xf numFmtId="0" fontId="7" fillId="5" borderId="43" xfId="0" applyNumberFormat="1" applyFont="1" applyFill="1" applyBorder="1" applyAlignment="1">
      <x:alignment horizontal="center"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borderId="46" xfId="0" applyNumberFormat="1" applyFont="1" applyFill="1" applyBorder="1" applyAlignment="1">
      <x:alignment vertical="center" wrapText="1"/>
    </x:xf>
    <x:xf numFmtId="0" fontId="11" fillId="6" borderId="24" xfId="0" applyNumberFormat="1" applyFont="1" applyFill="1" applyBorder="1" applyAlignment="1">
      <x:alignment horizontal="center" vertical="center" wrapText="1"/>
    </x:xf>
    <x:xf numFmtId="0" fontId="11" fillId="6" borderId="25" xfId="0" applyNumberFormat="1" applyFont="1" applyFill="1" applyBorder="1" applyAlignment="1">
      <x:alignment horizontal="center" vertical="center" wrapText="1"/>
    </x:xf>
    <x:xf numFmtId="0" fontId="11" fillId="6" borderId="52" xfId="0" applyNumberFormat="1" applyFont="1" applyFill="1" applyBorder="1" applyAlignment="1">
      <x:alignment horizontal="center" vertical="center" wrapText="1"/>
    </x:xf>
    <x:xf numFmtId="0" fontId="11" fillId="6" borderId="53" xfId="0" applyNumberFormat="1" applyFont="1" applyFill="1" applyBorder="1" applyAlignment="1">
      <x:alignment horizontal="center" vertical="center" wrapText="1"/>
    </x:xf>
    <x:xf numFmtId="0" fontId="11" fillId="6" borderId="30" xfId="0" applyNumberFormat="1" applyFont="1" applyFill="1" applyBorder="1" applyAlignment="1">
      <x:alignment horizontal="center" vertical="center" wrapText="1"/>
    </x:xf>
    <x:xf numFmtId="0" fontId="11" fillId="6" borderId="31" xfId="0" applyNumberFormat="1" applyFont="1" applyFill="1" applyBorder="1" applyAlignment="1">
      <x:alignment horizontal="center" vertical="center" wrapText="1"/>
    </x:xf>
    <x:xf numFmtId="0" fontId="11" fillId="6" borderId="54" xfId="0" applyNumberFormat="1" applyFont="1" applyFill="1" applyBorder="1" applyAlignment="1">
      <x:alignment horizontal="center" vertical="center" wrapText="1"/>
    </x:xf>
    <x:xf numFmtId="0" fontId="11" fillId="6" borderId="55" xfId="0" applyNumberFormat="1" applyFont="1" applyFill="1" applyBorder="1" applyAlignment="1">
      <x:alignment horizontal="center" vertical="center" wrapText="1"/>
    </x:xf>
    <x:xf numFmtId="0" fontId="12" fillId="6" borderId="26" xfId="0" applyNumberFormat="1" applyFont="1" applyFill="1" applyBorder="1" applyAlignment="1">
      <x:alignment horizontal="center" vertical="center" wrapText="1"/>
    </x:xf>
    <x:xf numFmtId="0" fontId="12" fillId="6" borderId="27" xfId="0" applyNumberFormat="1" applyFont="1" applyFill="1" applyBorder="1" applyAlignment="1">
      <x:alignment horizontal="center" vertical="center" wrapText="1"/>
    </x:xf>
    <x:xf numFmtId="0" fontId="12" fillId="6" borderId="28" xfId="0" applyNumberFormat="1" applyFont="1" applyFill="1" applyBorder="1" applyAlignment="1">
      <x:alignment horizontal="center" vertical="center" wrapText="1"/>
    </x:xf>
    <x:xf numFmtId="0" fontId="12" fillId="6" borderId="29" xfId="0" applyNumberFormat="1" applyFont="1" applyFill="1" applyBorder="1" applyAlignment="1">
      <x:alignment horizontal="center" vertical="center" wrapText="1"/>
    </x:xf>
    <x:xf numFmtId="0" fontId="12" fillId="6" borderId="24" xfId="0" applyNumberFormat="1" applyFont="1" applyFill="1" applyBorder="1" applyAlignment="1">
      <x:alignment horizontal="center" vertical="center" wrapText="1"/>
    </x:xf>
    <x:xf numFmtId="0" fontId="12" fillId="6" borderId="25" xfId="0" applyNumberFormat="1" applyFont="1" applyFill="1" applyBorder="1" applyAlignment="1">
      <x:alignment horizontal="center" vertical="center" wrapText="1"/>
    </x:xf>
    <x:xf numFmtId="0" fontId="12" fillId="6" borderId="32" xfId="0" applyNumberFormat="1" applyFont="1" applyFill="1" applyBorder="1" applyAlignment="1">
      <x:alignment horizontal="center" vertical="center" wrapText="1"/>
    </x:xf>
    <x:xf numFmtId="0" fontId="12" fillId="6" borderId="33" xfId="0" applyNumberFormat="1" applyFont="1" applyFill="1" applyBorder="1" applyAlignment="1">
      <x:alignment horizontal="center" vertical="center" wrapText="1"/>
    </x:xf>
    <x:xf numFmtId="0" fontId="12" fillId="6" borderId="34" xfId="0" applyNumberFormat="1" applyFont="1" applyFill="1" applyBorder="1" applyAlignment="1">
      <x:alignment horizontal="center" vertical="center" wrapText="1"/>
    </x:xf>
    <x:xf numFmtId="0" fontId="12" fillId="6" borderId="35" xfId="0" applyNumberFormat="1" applyFont="1" applyFill="1" applyBorder="1" applyAlignment="1">
      <x:alignment horizontal="center" vertical="center" wrapText="1"/>
    </x:xf>
    <x:xf numFmtId="0" fontId="12" fillId="6" borderId="30" xfId="0" applyNumberFormat="1" applyFont="1" applyFill="1" applyBorder="1" applyAlignment="1">
      <x:alignment horizontal="center" vertical="center" wrapText="1"/>
    </x:xf>
    <x:xf numFmtId="0" fontId="12" fillId="6" borderId="31" xfId="0" applyNumberFormat="1" applyFont="1" applyFill="1" applyBorder="1" applyAlignment="1">
      <x:alignment horizontal="center" vertical="center" wrapText="1"/>
    </x:xf>
    <x:xf numFmtId="0" fontId="11" fillId="7" borderId="24" xfId="0" applyNumberFormat="1" applyFont="1" applyFill="1" applyBorder="1" applyAlignment="1">
      <x:alignment horizontal="center" vertical="center" wrapText="1"/>
    </x:xf>
    <x:xf numFmtId="0" fontId="11" fillId="7" borderId="25" xfId="0" applyNumberFormat="1" applyFont="1" applyFill="1" applyBorder="1" applyAlignment="1">
      <x:alignment horizontal="center" vertical="center" wrapText="1"/>
    </x:xf>
    <x:xf numFmtId="0" fontId="11" fillId="7" borderId="52" xfId="0" applyNumberFormat="1" applyFont="1" applyFill="1" applyBorder="1" applyAlignment="1">
      <x:alignment horizontal="center" vertical="center" wrapText="1"/>
    </x:xf>
    <x:xf numFmtId="0" fontId="11" fillId="7" borderId="53" xfId="0" applyNumberFormat="1" applyFont="1" applyFill="1" applyBorder="1" applyAlignment="1">
      <x:alignment horizontal="center" vertical="center" wrapText="1"/>
    </x:xf>
    <x:xf numFmtId="0" fontId="11" fillId="7" borderId="30" xfId="0" applyNumberFormat="1" applyFont="1" applyFill="1" applyBorder="1" applyAlignment="1">
      <x:alignment horizontal="center" vertical="center" wrapText="1"/>
    </x:xf>
    <x:xf numFmtId="0" fontId="11" fillId="7" borderId="31" xfId="0" applyNumberFormat="1" applyFont="1" applyFill="1" applyBorder="1" applyAlignment="1">
      <x:alignment horizontal="center" vertical="center" wrapText="1"/>
    </x:xf>
    <x:xf numFmtId="0" fontId="11" fillId="7" borderId="54" xfId="0" applyNumberFormat="1" applyFont="1" applyFill="1" applyBorder="1" applyAlignment="1">
      <x:alignment horizontal="center" vertical="center" wrapText="1"/>
    </x:xf>
    <x:xf numFmtId="0" fontId="11" fillId="7" borderId="55" xfId="0" applyNumberFormat="1" applyFont="1" applyFill="1" applyBorder="1" applyAlignment="1">
      <x:alignment horizontal="center" vertical="center" wrapText="1"/>
    </x:xf>
    <x:xf numFmtId="0" fontId="12" fillId="7" borderId="26" xfId="0" applyNumberFormat="1" applyFont="1" applyFill="1" applyBorder="1" applyAlignment="1">
      <x:alignment horizontal="center" vertical="center" wrapText="1"/>
    </x:xf>
    <x:xf numFmtId="0" fontId="12" fillId="7" borderId="27" xfId="0" applyNumberFormat="1" applyFont="1" applyFill="1" applyBorder="1" applyAlignment="1">
      <x:alignment horizontal="center" vertical="center" wrapText="1"/>
    </x:xf>
    <x:xf numFmtId="0" fontId="12" fillId="7" borderId="28" xfId="0" applyNumberFormat="1" applyFont="1" applyFill="1" applyBorder="1" applyAlignment="1">
      <x:alignment horizontal="center" vertical="center" wrapText="1"/>
    </x:xf>
    <x:xf numFmtId="0" fontId="12" fillId="7" borderId="29" xfId="0" applyNumberFormat="1" applyFont="1" applyFill="1" applyBorder="1" applyAlignment="1">
      <x:alignment horizontal="center" vertical="center" wrapText="1"/>
    </x:xf>
    <x:xf numFmtId="0" fontId="12" fillId="7" borderId="24" xfId="0" applyNumberFormat="1" applyFont="1" applyFill="1" applyBorder="1" applyAlignment="1">
      <x:alignment horizontal="center" vertical="center" wrapText="1"/>
    </x:xf>
    <x:xf numFmtId="0" fontId="12" fillId="7" borderId="25" xfId="0" applyNumberFormat="1" applyFont="1" applyFill="1" applyBorder="1" applyAlignment="1">
      <x:alignment horizontal="center" vertical="center" wrapText="1"/>
    </x:xf>
    <x:xf numFmtId="0" fontId="12" fillId="7" borderId="32" xfId="0" applyNumberFormat="1" applyFont="1" applyFill="1" applyBorder="1" applyAlignment="1">
      <x:alignment horizontal="center" vertical="center" wrapText="1"/>
    </x:xf>
    <x:xf numFmtId="0" fontId="12" fillId="7" borderId="33" xfId="0" applyNumberFormat="1" applyFont="1" applyFill="1" applyBorder="1" applyAlignment="1">
      <x:alignment horizontal="center" vertical="center" wrapText="1"/>
    </x:xf>
    <x:xf numFmtId="0" fontId="12" fillId="7" borderId="34" xfId="0" applyNumberFormat="1" applyFont="1" applyFill="1" applyBorder="1" applyAlignment="1">
      <x:alignment horizontal="center" vertical="center" wrapText="1"/>
    </x:xf>
    <x:xf numFmtId="0" fontId="12" fillId="7" borderId="35" xfId="0" applyNumberFormat="1" applyFont="1" applyFill="1" applyBorder="1" applyAlignment="1">
      <x:alignment horizontal="center" vertical="center" wrapText="1"/>
    </x:xf>
    <x:xf numFmtId="0" fontId="12" fillId="7" borderId="30" xfId="0" applyNumberFormat="1" applyFont="1" applyFill="1" applyBorder="1" applyAlignment="1">
      <x:alignment horizontal="center" vertical="center" wrapText="1"/>
    </x:xf>
    <x:xf numFmtId="0" fontId="12" fillId="7" borderId="31" xfId="0" applyNumberFormat="1" applyFont="1" applyFill="1" applyBorder="1" applyAlignment="1">
      <x:alignment horizontal="center" vertical="center" wrapText="1"/>
    </x:xf>
    <x:xf numFmtId="0" fontId="11" fillId="8" borderId="24" xfId="0" applyNumberFormat="1" applyFont="1" applyFill="1" applyBorder="1" applyAlignment="1">
      <x:alignment horizontal="center" vertical="center" wrapText="1"/>
    </x:xf>
    <x:xf numFmtId="0" fontId="11" fillId="8" borderId="25" xfId="0" applyNumberFormat="1" applyFont="1" applyFill="1" applyBorder="1" applyAlignment="1">
      <x:alignment horizontal="center" vertical="center" wrapText="1"/>
    </x:xf>
    <x:xf numFmtId="0" fontId="11" fillId="8" borderId="52" xfId="0" applyNumberFormat="1" applyFont="1" applyFill="1" applyBorder="1" applyAlignment="1">
      <x:alignment horizontal="center" vertical="center" wrapText="1"/>
    </x:xf>
    <x:xf numFmtId="0" fontId="11" fillId="8" borderId="53" xfId="0" applyNumberFormat="1" applyFont="1" applyFill="1" applyBorder="1" applyAlignment="1">
      <x:alignment horizontal="center" vertical="center" wrapText="1"/>
    </x:xf>
    <x:xf numFmtId="0" fontId="11" fillId="8" borderId="30" xfId="0" applyNumberFormat="1" applyFont="1" applyFill="1" applyBorder="1" applyAlignment="1">
      <x:alignment horizontal="center" vertical="center" wrapText="1"/>
    </x:xf>
    <x:xf numFmtId="0" fontId="11" fillId="8" borderId="31" xfId="0" applyNumberFormat="1" applyFont="1" applyFill="1" applyBorder="1" applyAlignment="1">
      <x:alignment horizontal="center" vertical="center" wrapText="1"/>
    </x:xf>
    <x:xf numFmtId="0" fontId="11" fillId="8" borderId="54" xfId="0" applyNumberFormat="1" applyFont="1" applyFill="1" applyBorder="1" applyAlignment="1">
      <x:alignment horizontal="center" vertical="center" wrapText="1"/>
    </x:xf>
    <x:xf numFmtId="0" fontId="11" fillId="8" borderId="55" xfId="0" applyNumberFormat="1" applyFont="1" applyFill="1" applyBorder="1" applyAlignment="1">
      <x:alignment horizontal="center" vertical="center" wrapText="1"/>
    </x:xf>
    <x:xf numFmtId="0" fontId="12" fillId="8" borderId="26" xfId="0" applyNumberFormat="1" applyFont="1" applyFill="1" applyBorder="1" applyAlignment="1">
      <x:alignment horizontal="center" vertical="center" wrapText="1"/>
    </x:xf>
    <x:xf numFmtId="0" fontId="12" fillId="8" borderId="27" xfId="0" applyNumberFormat="1" applyFont="1" applyFill="1" applyBorder="1" applyAlignment="1">
      <x:alignment horizontal="center" vertical="center" wrapText="1"/>
    </x:xf>
    <x:xf numFmtId="0" fontId="12" fillId="8" borderId="28" xfId="0" applyNumberFormat="1" applyFont="1" applyFill="1" applyBorder="1" applyAlignment="1">
      <x:alignment horizontal="center" vertical="center" wrapText="1"/>
    </x:xf>
    <x:xf numFmtId="0" fontId="12" fillId="8" borderId="29" xfId="0" applyNumberFormat="1" applyFont="1" applyFill="1" applyBorder="1" applyAlignment="1">
      <x:alignment horizontal="center" vertical="center" wrapText="1"/>
    </x:xf>
    <x:xf numFmtId="0" fontId="12" fillId="8" borderId="24" xfId="0" applyNumberFormat="1" applyFont="1" applyFill="1" applyBorder="1" applyAlignment="1">
      <x:alignment horizontal="center" vertical="center" wrapText="1"/>
    </x:xf>
    <x:xf numFmtId="0" fontId="12" fillId="8" borderId="25" xfId="0" applyNumberFormat="1" applyFont="1" applyFill="1" applyBorder="1" applyAlignment="1">
      <x:alignment horizontal="center" vertical="center" wrapText="1"/>
    </x:xf>
    <x:xf numFmtId="0" fontId="12" fillId="8" borderId="32" xfId="0" applyNumberFormat="1" applyFont="1" applyFill="1" applyBorder="1" applyAlignment="1">
      <x:alignment horizontal="center" vertical="center" wrapText="1"/>
    </x:xf>
    <x:xf numFmtId="0" fontId="12" fillId="8" borderId="33" xfId="0" applyNumberFormat="1" applyFont="1" applyFill="1" applyBorder="1" applyAlignment="1">
      <x:alignment horizontal="center" vertical="center" wrapText="1"/>
    </x:xf>
    <x:xf numFmtId="0" fontId="12" fillId="8" borderId="34" xfId="0" applyNumberFormat="1" applyFont="1" applyFill="1" applyBorder="1" applyAlignment="1">
      <x:alignment horizontal="center" vertical="center" wrapText="1"/>
    </x:xf>
    <x:xf numFmtId="0" fontId="12" fillId="8" borderId="35" xfId="0" applyNumberFormat="1" applyFont="1" applyFill="1" applyBorder="1" applyAlignment="1">
      <x:alignment horizontal="center" vertical="center" wrapText="1"/>
    </x:xf>
    <x:xf numFmtId="0" fontId="12" fillId="8" borderId="30" xfId="0" applyNumberFormat="1" applyFont="1" applyFill="1" applyBorder="1" applyAlignment="1">
      <x:alignment horizontal="center" vertical="center" wrapText="1"/>
    </x:xf>
    <x:xf numFmtId="0" fontId="12" fillId="8" borderId="31" xfId="0" applyNumberFormat="1" applyFont="1" applyFill="1" applyBorder="1" applyAlignment="1">
      <x:alignment horizontal="center" vertical="center" wrapText="1"/>
    </x:xf>
    <x:xf numFmtId="0" fontId="11" fillId="9" borderId="24" xfId="0" applyNumberFormat="1" applyFont="1" applyFill="1" applyBorder="1" applyAlignment="1">
      <x:alignment horizontal="center" vertical="center" wrapText="1"/>
    </x:xf>
    <x:xf numFmtId="0" fontId="11" fillId="9" borderId="25" xfId="0" applyNumberFormat="1" applyFont="1" applyFill="1" applyBorder="1" applyAlignment="1">
      <x:alignment horizontal="center" vertical="center" wrapText="1"/>
    </x:xf>
    <x:xf numFmtId="0" fontId="11" fillId="9" borderId="52" xfId="0" applyNumberFormat="1" applyFont="1" applyFill="1" applyBorder="1" applyAlignment="1">
      <x:alignment horizontal="center" vertical="center" wrapText="1"/>
    </x:xf>
    <x:xf numFmtId="0" fontId="11" fillId="9" borderId="53" xfId="0" applyNumberFormat="1" applyFont="1" applyFill="1" applyBorder="1" applyAlignment="1">
      <x:alignment horizontal="center" vertical="center" wrapText="1"/>
    </x:xf>
    <x:xf numFmtId="0" fontId="11" fillId="9" borderId="30" xfId="0" applyNumberFormat="1" applyFont="1" applyFill="1" applyBorder="1" applyAlignment="1">
      <x:alignment horizontal="center" vertical="center" wrapText="1"/>
    </x:xf>
    <x:xf numFmtId="0" fontId="11" fillId="9" borderId="31" xfId="0" applyNumberFormat="1" applyFont="1" applyFill="1" applyBorder="1" applyAlignment="1">
      <x:alignment horizontal="center" vertical="center" wrapText="1"/>
    </x:xf>
    <x:xf numFmtId="0" fontId="11" fillId="9" borderId="54" xfId="0" applyNumberFormat="1" applyFont="1" applyFill="1" applyBorder="1" applyAlignment="1">
      <x:alignment horizontal="center" vertical="center" wrapText="1"/>
    </x:xf>
    <x:xf numFmtId="0" fontId="11" fillId="9" borderId="55" xfId="0" applyNumberFormat="1" applyFont="1" applyFill="1" applyBorder="1" applyAlignment="1">
      <x:alignment horizontal="center" vertical="center" wrapText="1"/>
    </x:xf>
    <x:xf numFmtId="0" fontId="12" fillId="9" borderId="26" xfId="0" applyNumberFormat="1" applyFont="1" applyFill="1" applyBorder="1" applyAlignment="1">
      <x:alignment horizontal="center" vertical="center" wrapText="1"/>
    </x:xf>
    <x:xf numFmtId="0" fontId="12" fillId="9" borderId="27" xfId="0" applyNumberFormat="1" applyFont="1" applyFill="1" applyBorder="1" applyAlignment="1">
      <x:alignment horizontal="center" vertical="center" wrapText="1"/>
    </x:xf>
    <x:xf numFmtId="0" fontId="12" fillId="9" borderId="28" xfId="0" applyNumberFormat="1" applyFont="1" applyFill="1" applyBorder="1" applyAlignment="1">
      <x:alignment horizontal="center" vertical="center" wrapText="1"/>
    </x:xf>
    <x:xf numFmtId="0" fontId="12" fillId="9" borderId="29" xfId="0" applyNumberFormat="1" applyFont="1" applyFill="1" applyBorder="1" applyAlignment="1">
      <x:alignment horizontal="center" vertical="center" wrapText="1"/>
    </x:xf>
    <x:xf numFmtId="0" fontId="12" fillId="9" borderId="24" xfId="0" applyNumberFormat="1" applyFont="1" applyFill="1" applyBorder="1" applyAlignment="1">
      <x:alignment horizontal="center" vertical="center" wrapText="1"/>
    </x:xf>
    <x:xf numFmtId="0" fontId="12" fillId="9" borderId="2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4" fillId="12" borderId="3" xfId="0" applyNumberFormat="1" applyFont="1" applyFill="1" applyBorder="1" applyAlignment="1">
      <x:alignment horizontal="center" vertical="center" wrapText="1"/>
    </x:xf>
    <x:xf numFmtId="0" fontId="4" fillId="12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56" xfId="0" applyNumberFormat="1" applyFont="1" applyFill="1" applyBorder="1" applyAlignment="1">
      <x:alignment horizontal="center" vertical="center" wrapText="1"/>
    </x:xf>
    <x:xf numFmtId="0" fontId="4" fillId="12" borderId="57" xfId="0" applyNumberFormat="1" applyFont="1" applyFill="1" applyBorder="1" applyAlignment="1">
      <x:alignment horizontal="center" vertical="center" wrapText="1"/>
    </x:xf>
    <x:xf numFmtId="0" fontId="4" fillId="12" borderId="58" xfId="0" applyNumberFormat="1" applyFont="1" applyFill="1" applyBorder="1" applyAlignment="1">
      <x:alignment horizontal="center" vertical="center" wrapText="1"/>
    </x:xf>
    <x:xf numFmtId="0" fontId="4" fillId="12" borderId="59" xfId="0" applyNumberFormat="1" applyFont="1" applyFill="1" applyBorder="1"/>
    <x:xf numFmtId="0" fontId="4" fillId="12" borderId="59" xfId="0" applyNumberFormat="1" applyFont="1" applyFill="1" applyBorder="1" applyAlignment="1">
      <x:alignment wrapText="1"/>
    </x:xf>
    <x:xf numFmtId="0" fontId="4" fillId="12" borderId="59" xfId="0" applyNumberFormat="1" applyFont="1" applyFill="1" applyBorder="1" applyAlignment="1">
      <x:alignment horizontal="center" wrapText="1"/>
    </x:xf>
    <x:xf numFmtId="0" fontId="4" fillId="12" borderId="59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5" fillId="0" borderId="60" xfId="0" applyNumberFormat="1" applyFont="1" applyFill="1" applyBorder="1" applyAlignment="1">
      <x:alignment horizontal="center" vertical="center" wrapText="1"/>
    </x:xf>
    <x:xf numFmtId="0" fontId="5" fillId="0" borderId="61" xfId="0" applyNumberFormat="1" applyFont="1" applyFill="1" applyBorder="1" applyAlignment="1">
      <x:alignment horizontal="center" vertical="center" wrapText="1"/>
    </x:xf>
    <x:xf numFmtId="0" fontId="5" fillId="0" borderId="61" xfId="0" applyNumberFormat="1" applyFont="1" applyFill="1" applyBorder="1" applyAlignment="1">
      <x:alignment vertical="top" wrapText="1"/>
    </x:xf>
    <x:xf numFmtId="0" fontId="5" fillId="0" borderId="62" xfId="0" applyNumberFormat="1" applyFont="1" applyFill="1" applyBorder="1" applyAlignment="1">
      <x:alignment vertical="top" wrapText="1"/>
    </x:xf>
    <x:xf numFmtId="0" fontId="5" fillId="0" borderId="63" xfId="0" applyNumberFormat="1" applyFont="1" applyFill="1" applyBorder="1"/>
    <x:xf numFmtId="0" fontId="5" fillId="0" borderId="64" xfId="0" applyNumberFormat="1" applyFont="1" applyFill="1" applyBorder="1" applyAlignment="1">
      <x:alignment horizontal="center" vertical="center" wrapText="1"/>
    </x:xf>
    <x:xf numFmtId="0" fontId="5" fillId="0" xfId="0" applyNumberFormat="1" applyFont="1" applyFill="1" applyBorder="0" applyAlignment="1">
      <x:alignment horizontal="center" vertical="center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65" xfId="0" applyNumberFormat="1" applyFont="1" applyFill="1" applyBorder="1"/>
    <x:xf numFmtId="0" fontId="5" fillId="0" borderId="66" xfId="0" applyNumberFormat="1" applyFont="1" applyFill="1" applyBorder="1" applyAlignment="1">
      <x:alignment horizontal="center" vertical="center" wrapText="1"/>
    </x:xf>
    <x:xf numFmtId="0" fontId="5" fillId="0" borderId="67" xfId="0" applyNumberFormat="1" applyFont="1" applyFill="1" applyBorder="1" applyAlignment="1">
      <x:alignment horizontal="center" vertical="center" wrapText="1"/>
    </x:xf>
    <x:xf numFmtId="0" fontId="5" fillId="0" borderId="67" xfId="0" applyNumberFormat="1" applyFont="1" applyFill="1" applyBorder="1" applyAlignment="1">
      <x:alignment vertical="top" wrapText="1"/>
    </x:xf>
    <x:xf numFmtId="0" fontId="5" fillId="0" borderId="68" xfId="0" applyNumberFormat="1" applyFont="1" applyFill="1" applyBorder="1" applyAlignment="1">
      <x:alignment vertical="top" wrapText="1"/>
    </x:xf>
    <x:xf numFmtId="0" fontId="5" fillId="0" borderId="69" xfId="0" applyNumberFormat="1" applyFont="1" applyFill="1" applyBorder="1"/>
    <x:xf numFmtId="0" fontId="5" fillId="0" borderId="63" xfId="0" applyNumberFormat="1" applyFont="1" applyFill="1" applyBorder="1" applyAlignment="1">
      <x:alignment wrapText="1"/>
    </x:xf>
    <x:xf numFmtId="0" fontId="5" fillId="0" borderId="65" xfId="0" applyNumberFormat="1" applyFont="1" applyFill="1" applyBorder="1" applyAlignment="1">
      <x:alignment wrapText="1"/>
    </x:xf>
    <x:xf numFmtId="0" fontId="5" fillId="0" borderId="69" xfId="0" applyNumberFormat="1" applyFont="1" applyFill="1" applyBorder="1" applyAlignment="1">
      <x:alignment wrapText="1"/>
    </x:xf>
    <x:xf numFmtId="0" fontId="5" fillId="0" borderId="60" xfId="0" applyNumberFormat="1" applyFont="1" applyFill="1" applyBorder="1" applyAlignment="1">
      <x:alignment horizontal="center" vertical="top" wrapText="1"/>
    </x:xf>
    <x:xf numFmtId="0" fontId="5" fillId="0" borderId="61" xfId="0" applyNumberFormat="1" applyFont="1" applyFill="1" applyBorder="1" applyAlignment="1">
      <x:alignment horizontal="center" vertical="top" wrapText="1"/>
    </x:xf>
    <x:xf numFmtId="0" fontId="5" fillId="0" borderId="63" xfId="0" applyNumberFormat="1" applyFont="1" applyFill="1" applyBorder="1" applyAlignment="1">
      <x:alignment vertical="top" wrapText="1"/>
    </x:xf>
    <x:xf numFmtId="0" fontId="5" fillId="0" borderId="64" xfId="0" applyNumberFormat="1" applyFont="1" applyFill="1" applyBorder="1" applyAlignment="1">
      <x:alignment horizontal="center" vertical="top" wrapText="1"/>
    </x:xf>
    <x:xf numFmtId="0" fontId="5" fillId="0" xfId="0" applyNumberFormat="1" applyFont="1" applyFill="1" applyBorder="0" applyAlignment="1">
      <x:alignment horizontal="center" vertical="top" wrapText="1"/>
    </x:xf>
    <x:xf numFmtId="0" fontId="5" fillId="0" borderId="65" xfId="0" applyNumberFormat="1" applyFont="1" applyFill="1" applyBorder="1" applyAlignment="1">
      <x:alignment vertical="top" wrapText="1"/>
    </x:xf>
    <x:xf numFmtId="0" fontId="5" fillId="0" borderId="66" xfId="0" applyNumberFormat="1" applyFont="1" applyFill="1" applyBorder="1" applyAlignment="1">
      <x:alignment horizontal="center" vertical="top" wrapText="1"/>
    </x:xf>
    <x:xf numFmtId="0" fontId="5" fillId="0" borderId="67" xfId="0" applyNumberFormat="1" applyFont="1" applyFill="1" applyBorder="1" applyAlignment="1">
      <x:alignment horizontal="center" vertical="top" wrapText="1"/>
    </x:xf>
    <x:xf numFmtId="0" fontId="5" fillId="0" borderId="69" xfId="0" applyNumberFormat="1" applyFont="1" applyFill="1" applyBorder="1" applyAlignment="1">
      <x:alignment vertical="top" wrapText="1"/>
    </x:xf>
    <x:xf numFmtId="0" fontId="5" fillId="13" borderId="61" xfId="0" applyNumberFormat="1" applyFont="1" applyFill="1" applyBorder="1" applyAlignment="1">
      <x:alignment horizontal="center" vertical="top" wrapText="1"/>
    </x:xf>
    <x:xf numFmtId="0" fontId="5" fillId="13" xfId="0" applyNumberFormat="1" applyFont="1" applyFill="1" applyBorder="0" applyAlignment="1">
      <x:alignment horizontal="center" vertical="top" wrapText="1"/>
    </x:xf>
    <x:xf numFmtId="0" fontId="5" fillId="13" borderId="67" xfId="0" applyNumberFormat="1" applyFont="1" applyFill="1" applyBorder="1" applyAlignment="1">
      <x:alignment horizontal="center" vertical="top" wrapText="1"/>
    </x:xf>
    <x:xf numFmtId="0" fontId="13" fillId="13" borderId="61" xfId="0" applyNumberFormat="1" applyFont="1" applyFill="1" applyBorder="1" applyAlignment="1">
      <x:alignment horizontal="center" vertical="top" wrapText="1"/>
    </x:xf>
    <x:xf numFmtId="0" fontId="13" fillId="13" xfId="0" applyNumberFormat="1" applyFont="1" applyFill="1" applyBorder="0" applyAlignment="1">
      <x:alignment horizontal="center" vertical="top" wrapText="1"/>
    </x:xf>
    <x:xf numFmtId="0" fontId="13" fillId="13" borderId="67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horizont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borderId="70" xfId="0" applyNumberFormat="1" applyFont="1" applyFill="1" applyBorder="1" applyAlignment="1">
      <x:alignment horizontal="center" vertical="center"/>
    </x:xf>
    <x:xf numFmtId="0" fontId="0" fillId="0" borderId="71" xfId="0" applyNumberFormat="1" applyFont="1" applyFill="1" applyBorder="1" applyAlignment="1">
      <x:alignment vertical="center" wrapText="1"/>
    </x:xf>
    <x:xf numFmtId="0" fontId="0" fillId="0" borderId="72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13" fillId="13" borderId="0" xfId="0" applyNumberFormat="1" applyFont="1" applyFill="1" applyBorder="1" applyAlignment="1">
      <x:alignment horizontal="center" vertical="top" wrapText="1"/>
    </x:xf>
    <x:xf numFmtId="0" fontId="4" fillId="15" borderId="56" xfId="0" applyNumberFormat="1" applyFont="1" applyFill="1" applyBorder="1" applyAlignment="1">
      <x:alignment horizontal="center" vertical="center" wrapText="1"/>
    </x:xf>
    <x:xf numFmtId="0" fontId="4" fillId="15" borderId="57" xfId="0" applyNumberFormat="1" applyFont="1" applyFill="1" applyBorder="1" applyAlignment="1">
      <x:alignment horizontal="center" vertical="center" wrapText="1"/>
    </x:xf>
    <x:xf numFmtId="0" fontId="4" fillId="15" borderId="59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73" xfId="0" applyNumberFormat="1" applyFont="1" applyFill="1" applyBorder="1" applyAlignment="1">
      <x:alignment horizontal="center" vertical="center" wrapText="1"/>
    </x:xf>
    <x:xf numFmtId="0" fontId="4" fillId="15" borderId="74" xfId="0" applyNumberFormat="1" applyFont="1" applyFill="1" applyBorder="1" applyAlignment="1">
      <x:alignment horizontal="center" vertical="center" wrapText="1"/>
    </x:xf>
    <x:xf numFmtId="0" fontId="4" fillId="15" borderId="75" xfId="0" applyNumberFormat="1" applyFont="1" applyFill="1" applyBorder="1" applyAlignment="1">
      <x:alignment horizontal="center" vertical="center" wrapText="1"/>
    </x:xf>
    <x:xf numFmtId="0" fontId="4" fillId="15" borderId="74" xfId="0" applyNumberFormat="1" applyFont="1" applyFill="1" applyBorder="1"/>
    <x:xf numFmtId="0" fontId="4" fillId="15" borderId="76" xfId="0" applyNumberFormat="1" applyFont="1" applyFill="1" applyBorder="1"/>
    <x:xf numFmtId="0" fontId="4" fillId="15" borderId="74" xfId="0" applyNumberFormat="1" applyFont="1" applyFill="1" applyBorder="1" applyAlignment="1">
      <x:alignment wrapText="1"/>
    </x:xf>
    <x:xf numFmtId="0" fontId="4" fillId="15" borderId="76" xfId="0" applyNumberFormat="1" applyFont="1" applyFill="1" applyBorder="1" applyAlignment="1">
      <x:alignment wrapText="1"/>
    </x:xf>
    <x:xf numFmtId="0" fontId="4" fillId="15" borderId="74" xfId="0" applyNumberFormat="1" applyFont="1" applyFill="1" applyBorder="1" applyAlignment="1">
      <x:alignment horizontal="center" wrapText="1"/>
    </x:xf>
    <x:xf numFmtId="0" fontId="4" fillId="15" borderId="76" xfId="0" applyNumberFormat="1" applyFont="1" applyFill="1" applyBorder="1" applyAlignment="1">
      <x:alignment horizontal="center" wrapText="1"/>
    </x:xf>
    <x:xf numFmtId="0" fontId="4" fillId="15" borderId="76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5" fillId="0" borderId="77" xfId="0" applyNumberFormat="1" applyFont="1" applyFill="1" applyBorder="1" applyAlignment="1">
      <x:alignment horizontal="center" vertical="center" wrapText="1"/>
    </x:xf>
    <x:xf numFmtId="0" fontId="5" fillId="0" borderId="78" xfId="0" applyNumberFormat="1" applyFont="1" applyFill="1" applyBorder="1" applyAlignment="1">
      <x:alignment horizontal="center" vertical="center" wrapText="1"/>
    </x:xf>
    <x:xf numFmtId="0" fontId="5" fillId="0" borderId="78" xfId="0" applyNumberFormat="1" applyFont="1" applyFill="1" applyBorder="1" applyAlignment="1">
      <x:alignment vertical="top" wrapText="1"/>
    </x:xf>
    <x:xf numFmtId="0" fontId="13" fillId="13" borderId="78" xfId="0" applyNumberFormat="1" applyFont="1" applyFill="1" applyBorder="1" applyAlignment="1">
      <x:alignment horizontal="center" vertical="top" wrapText="1"/>
    </x:xf>
    <x:xf numFmtId="0" fontId="5" fillId="0" borderId="79" xfId="0" applyNumberFormat="1" applyFont="1" applyFill="1" applyBorder="1" applyAlignment="1">
      <x:alignment vertical="top" wrapText="1"/>
    </x:xf>
    <x:xf numFmtId="0" fontId="5" fillId="0" borderId="78" xfId="0" applyNumberFormat="1" applyFont="1" applyFill="1" applyBorder="1"/>
    <x:xf numFmtId="0" fontId="5" fillId="0" borderId="80" xfId="0" applyNumberFormat="1" applyFont="1" applyFill="1" applyBorder="1"/>
    <x:xf numFmtId="0" fontId="5" fillId="0" borderId="81" xfId="0" applyNumberFormat="1" applyFont="1" applyFill="1" applyBorder="1" applyAlignment="1">
      <x:alignment horizontal="center" vertical="center" wrapText="1"/>
    </x:xf>
    <x:xf numFmtId="0" fontId="5" fillId="0" xfId="0" applyNumberFormat="1" applyFont="1" applyFill="1" applyBorder="0"/>
    <x:xf numFmtId="0" fontId="5" fillId="0" borderId="82" xfId="0" applyNumberFormat="1" applyFont="1" applyFill="1" applyBorder="1"/>
    <x:xf numFmtId="0" fontId="5" fillId="0" borderId="83" xfId="0" applyNumberFormat="1" applyFont="1" applyFill="1" applyBorder="1" applyAlignment="1">
      <x:alignment horizontal="center" vertical="center" wrapText="1"/>
    </x:xf>
    <x:xf numFmtId="0" fontId="5" fillId="0" borderId="84" xfId="0" applyNumberFormat="1" applyFont="1" applyFill="1" applyBorder="1" applyAlignment="1">
      <x:alignment horizontal="center" vertical="center" wrapText="1"/>
    </x:xf>
    <x:xf numFmtId="0" fontId="5" fillId="0" borderId="84" xfId="0" applyNumberFormat="1" applyFont="1" applyFill="1" applyBorder="1" applyAlignment="1">
      <x:alignment vertical="top" wrapText="1"/>
    </x:xf>
    <x:xf numFmtId="0" fontId="13" fillId="13" borderId="84" xfId="0" applyNumberFormat="1" applyFont="1" applyFill="1" applyBorder="1" applyAlignment="1">
      <x:alignment horizontal="center" vertical="top" wrapText="1"/>
    </x:xf>
    <x:xf numFmtId="0" fontId="5" fillId="0" borderId="85" xfId="0" applyNumberFormat="1" applyFont="1" applyFill="1" applyBorder="1" applyAlignment="1">
      <x:alignment vertical="top" wrapText="1"/>
    </x:xf>
    <x:xf numFmtId="0" fontId="5" fillId="0" borderId="84" xfId="0" applyNumberFormat="1" applyFont="1" applyFill="1" applyBorder="1"/>
    <x:xf numFmtId="0" fontId="5" fillId="0" borderId="86" xfId="0" applyNumberFormat="1" applyFont="1" applyFill="1" applyBorder="1"/>
    <x:xf numFmtId="0" fontId="5" fillId="0" borderId="78" xfId="0" applyNumberFormat="1" applyFont="1" applyFill="1" applyBorder="1" applyAlignment="1">
      <x:alignment wrapText="1"/>
    </x:xf>
    <x:xf numFmtId="0" fontId="5" fillId="0" borderId="80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5" fillId="0" borderId="82" xfId="0" applyNumberFormat="1" applyFont="1" applyFill="1" applyBorder="1" applyAlignment="1">
      <x:alignment wrapText="1"/>
    </x:xf>
    <x:xf numFmtId="0" fontId="5" fillId="0" borderId="84" xfId="0" applyNumberFormat="1" applyFont="1" applyFill="1" applyBorder="1" applyAlignment="1">
      <x:alignment wrapText="1"/>
    </x:xf>
    <x:xf numFmtId="0" fontId="5" fillId="0" borderId="86" xfId="0" applyNumberFormat="1" applyFont="1" applyFill="1" applyBorder="1" applyAlignment="1">
      <x:alignment wrapText="1"/>
    </x:xf>
    <x:xf numFmtId="0" fontId="5" fillId="0" borderId="77" xfId="0" applyNumberFormat="1" applyFont="1" applyFill="1" applyBorder="1" applyAlignment="1">
      <x:alignment horizontal="center" vertical="top" wrapText="1"/>
    </x:xf>
    <x:xf numFmtId="0" fontId="5" fillId="0" borderId="78" xfId="0" applyNumberFormat="1" applyFont="1" applyFill="1" applyBorder="1" applyAlignment="1">
      <x:alignment horizontal="center" vertical="top" wrapText="1"/>
    </x:xf>
    <x:xf numFmtId="0" fontId="5" fillId="0" borderId="80" xfId="0" applyNumberFormat="1" applyFont="1" applyFill="1" applyBorder="1" applyAlignment="1">
      <x:alignment vertical="top" wrapText="1"/>
    </x:xf>
    <x:xf numFmtId="0" fontId="5" fillId="0" borderId="81" xfId="0" applyNumberFormat="1" applyFont="1" applyFill="1" applyBorder="1" applyAlignment="1">
      <x:alignment horizontal="center" vertical="top" wrapText="1"/>
    </x:xf>
    <x:xf numFmtId="0" fontId="5" fillId="0" borderId="82" xfId="0" applyNumberFormat="1" applyFont="1" applyFill="1" applyBorder="1" applyAlignment="1">
      <x:alignment vertical="top" wrapText="1"/>
    </x:xf>
    <x:xf numFmtId="0" fontId="5" fillId="0" borderId="83" xfId="0" applyNumberFormat="1" applyFont="1" applyFill="1" applyBorder="1" applyAlignment="1">
      <x:alignment horizontal="center" vertical="top" wrapText="1"/>
    </x:xf>
    <x:xf numFmtId="0" fontId="5" fillId="0" borderId="84" xfId="0" applyNumberFormat="1" applyFont="1" applyFill="1" applyBorder="1" applyAlignment="1">
      <x:alignment horizontal="center" vertical="top" wrapText="1"/>
    </x:xf>
    <x:xf numFmtId="0" fontId="5" fillId="0" borderId="86" xfId="0" applyNumberFormat="1" applyFont="1" applyFill="1" applyBorder="1" applyAlignment="1">
      <x:alignment vertical="top" wrapText="1"/>
    </x:xf>
    <x:xf numFmtId="0" fontId="5" fillId="0" borderId="79" xfId="0" applyNumberFormat="1" applyFont="1" applyFill="1" applyBorder="1" applyAlignment="1">
      <x:alignment horizontal="center" vertical="top" wrapText="1"/>
    </x:xf>
    <x:xf numFmtId="0" fontId="5" fillId="0" borderId="65" xfId="0" applyNumberFormat="1" applyFont="1" applyFill="1" applyBorder="1" applyAlignment="1">
      <x:alignment horizontal="center" vertical="top" wrapText="1"/>
    </x:xf>
    <x:xf numFmtId="0" fontId="5" fillId="0" borderId="85" xfId="0" applyNumberFormat="1" applyFont="1" applyFill="1" applyBorder="1" applyAlignment="1">
      <x:alignment horizontal="center" vertical="top" wrapText="1"/>
    </x:xf>
    <x:xf numFmtId="0" fontId="5" fillId="0" borderId="79" xfId="0" applyNumberFormat="1" applyFont="1" applyFill="1" applyBorder="1" applyAlignment="1">
      <x:alignment horizontal="center" vertical="center" wrapText="1"/>
    </x:xf>
    <x:xf numFmtId="0" fontId="5" fillId="0" borderId="65" xfId="0" applyNumberFormat="1" applyFont="1" applyFill="1" applyBorder="1" applyAlignment="1">
      <x:alignment horizontal="center" vertical="center" wrapText="1"/>
    </x:xf>
    <x:xf numFmtId="0" fontId="5" fillId="0" borderId="85" xfId="0" applyNumberFormat="1" applyFont="1" applyFill="1" applyBorder="1" applyAlignment="1">
      <x:alignment horizontal="center" vertical="center" wrapText="1"/>
    </x:xf>
    <x:xf numFmtId="0" fontId="5" fillId="16" borderId="78" xfId="0" applyNumberFormat="1" applyFont="1" applyFill="1" applyBorder="1" applyAlignment="1">
      <x:alignment vertical="top" wrapText="1"/>
    </x:xf>
    <x:xf numFmtId="0" fontId="5" fillId="16" xfId="0" applyNumberFormat="1" applyFont="1" applyFill="1" applyBorder="0" applyAlignment="1">
      <x:alignment vertical="top" wrapText="1"/>
    </x:xf>
    <x:xf numFmtId="0" fontId="5" fillId="16" borderId="84" xfId="0" applyNumberFormat="1" applyFont="1" applyFill="1" applyBorder="1" applyAlignment="1">
      <x:alignment vertical="top" wrapText="1"/>
    </x:xf>
    <x:xf numFmtId="0" fontId="5" fillId="17" borderId="78" xfId="0" applyNumberFormat="1" applyFont="1" applyFill="1" applyBorder="1" applyAlignment="1">
      <x:alignment horizontal="center" vertical="top" wrapText="1"/>
    </x:xf>
    <x:xf numFmtId="0" fontId="5" fillId="17" borderId="78" xfId="0" applyNumberFormat="1" applyFont="1" applyFill="1" applyBorder="1" applyAlignment="1">
      <x:alignment horizontal="center" vertical="center" wrapText="1"/>
    </x:xf>
    <x:xf numFmtId="0" fontId="5" fillId="17" borderId="78" xfId="0" applyNumberFormat="1" applyFont="1" applyFill="1" applyBorder="1" applyAlignment="1">
      <x:alignment vertical="top" wrapText="1"/>
    </x:xf>
    <x:xf numFmtId="0" fontId="5" fillId="17" xfId="0" applyNumberFormat="1" applyFont="1" applyFill="1" applyBorder="0" applyAlignment="1">
      <x:alignment horizontal="center" vertical="top" wrapText="1"/>
    </x:xf>
    <x:xf numFmtId="0" fontId="5" fillId="17" xfId="0" applyNumberFormat="1" applyFont="1" applyFill="1" applyBorder="0" applyAlignment="1">
      <x:alignment horizontal="center" vertical="center" wrapText="1"/>
    </x:xf>
    <x:xf numFmtId="0" fontId="5" fillId="17" xfId="0" applyNumberFormat="1" applyFont="1" applyFill="1" applyBorder="0" applyAlignment="1">
      <x:alignment vertical="top" wrapText="1"/>
    </x:xf>
    <x:xf numFmtId="0" fontId="5" fillId="17" borderId="84" xfId="0" applyNumberFormat="1" applyFont="1" applyFill="1" applyBorder="1" applyAlignment="1">
      <x:alignment horizontal="center" vertical="top" wrapText="1"/>
    </x:xf>
    <x:xf numFmtId="0" fontId="5" fillId="17" borderId="84" xfId="0" applyNumberFormat="1" applyFont="1" applyFill="1" applyBorder="1" applyAlignment="1">
      <x:alignment horizontal="center" vertical="center" wrapText="1"/>
    </x:xf>
    <x:xf numFmtId="0" fontId="5" fillId="17" borderId="84" xfId="0" applyNumberFormat="1" applyFont="1" applyFill="1" applyBorder="1" applyAlignment="1">
      <x:alignment vertical="top" wrapText="1"/>
    </x:xf>
    <x:xf numFmtId="0" fontId="14" fillId="17" borderId="78" xfId="0" applyNumberFormat="1" applyFont="1" applyFill="1" applyBorder="1" applyAlignment="1">
      <x:alignment horizontal="center" vertical="center" wrapText="1"/>
    </x:xf>
    <x:xf numFmtId="0" fontId="14" fillId="17" xfId="0" applyNumberFormat="1" applyFont="1" applyFill="1" applyBorder="0" applyAlignment="1">
      <x:alignment horizontal="center" vertical="center" wrapText="1"/>
    </x:xf>
    <x:xf numFmtId="0" fontId="14" fillId="17" borderId="84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horizontal="center"/>
    </x:xf>
    <x:xf numFmtId="0" fontId="10" fillId="18" borderId="0" xfId="0" applyNumberFormat="1" applyFont="1" applyFill="1" applyBorder="1" applyAlignment="1">
      <x:alignment horizontal="center" vertical="center"/>
    </x:xf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horizontal="center" wrapText="1"/>
    </x:xf>
    <x:xf numFmtId="0" fontId="7" fillId="15" borderId="87" xfId="0" applyNumberFormat="1" applyFont="1" applyFill="1" applyBorder="1" applyAlignment="1">
      <x:alignment horizontal="center" wrapText="1"/>
    </x:xf>
    <x:xf numFmtId="0" fontId="7" fillId="15" borderId="88" xfId="0" applyNumberFormat="1" applyFont="1" applyFill="1" applyBorder="1" applyAlignment="1">
      <x:alignment horizontal="center" wrapText="1"/>
    </x:xf>
    <x:xf numFmtId="0" fontId="7" fillId="15" borderId="89" xfId="0" applyNumberFormat="1" applyFont="1" applyFill="1" applyBorder="1" applyAlignment="1">
      <x:alignment horizontal="center" wrapText="1"/>
    </x:xf>
    <x:xf numFmtId="0" fontId="0" fillId="0" borderId="90" xfId="0" applyNumberFormat="1" applyFont="1" applyFill="1" applyBorder="1"/>
    <x:xf numFmtId="0" fontId="0" fillId="0" xfId="0" applyNumberFormat="1" applyFont="1" applyFill="1" applyBorder="0"/>
    <x:xf numFmtId="0" fontId="0" fillId="0" borderId="91" xfId="0" applyNumberFormat="1" applyFont="1" applyFill="1" applyBorder="1"/>
    <x:xf numFmtId="0" fontId="0" fillId="0" borderId="92" xfId="0" applyNumberFormat="1" applyFont="1" applyFill="1" applyBorder="1"/>
    <x:xf numFmtId="0" fontId="0" fillId="0" borderId="93" xfId="0" applyNumberFormat="1" applyFont="1" applyFill="1" applyBorder="1"/>
    <x:xf numFmtId="0" fontId="0" fillId="0" borderId="94" xfId="0" applyNumberFormat="1" applyFont="1" applyFill="1" applyBorder="1"/>
    <x:xf numFmtId="0" fontId="0" fillId="0" borderId="9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91" xfId="0" applyNumberFormat="1" applyFont="1" applyFill="1" applyBorder="1" applyAlignment="1">
      <x:alignment wrapText="1"/>
    </x:xf>
    <x:xf numFmtId="0" fontId="0" fillId="0" borderId="92" xfId="0" applyNumberFormat="1" applyFont="1" applyFill="1" applyBorder="1" applyAlignment="1">
      <x:alignment wrapText="1"/>
    </x:xf>
    <x:xf numFmtId="0" fontId="0" fillId="0" borderId="93" xfId="0" applyNumberFormat="1" applyFont="1" applyFill="1" applyBorder="1" applyAlignment="1">
      <x:alignment wrapText="1"/>
    </x:xf>
    <x:xf numFmtId="0" fontId="0" fillId="0" borderId="94" xfId="0" applyNumberFormat="1" applyFont="1" applyFill="1" applyBorder="1" applyAlignment="1">
      <x:alignment wrapText="1"/>
    </x:xf>
    <x:xf numFmtId="0" fontId="7" fillId="15" borderId="87" xfId="0" applyNumberFormat="1" applyFont="1" applyFill="1" applyBorder="1" applyAlignment="1">
      <x:alignment horizontal="center" vertical="center" wrapText="1"/>
    </x:xf>
    <x:xf numFmtId="0" fontId="7" fillId="15" borderId="88" xfId="0" applyNumberFormat="1" applyFont="1" applyFill="1" applyBorder="1" applyAlignment="1">
      <x:alignment horizontal="center" vertical="center" wrapText="1"/>
    </x:xf>
    <x:xf numFmtId="0" fontId="7" fillId="15" borderId="89" xfId="0" applyNumberFormat="1" applyFont="1" applyFill="1" applyBorder="1" applyAlignment="1">
      <x:alignment horizontal="center" vertical="center" wrapText="1"/>
    </x:xf>
    <x:xf numFmtId="0" fontId="0" fillId="0" borderId="90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91" xfId="0" applyNumberFormat="1" applyFont="1" applyFill="1" applyBorder="1" applyAlignment="1">
      <x:alignment vertical="center" wrapText="1"/>
    </x:xf>
    <x:xf numFmtId="0" fontId="0" fillId="0" borderId="92" xfId="0" applyNumberFormat="1" applyFont="1" applyFill="1" applyBorder="1" applyAlignment="1">
      <x:alignment vertical="center" wrapText="1"/>
    </x:xf>
    <x:xf numFmtId="0" fontId="0" fillId="0" borderId="93" xfId="0" applyNumberFormat="1" applyFont="1" applyFill="1" applyBorder="1" applyAlignment="1">
      <x:alignment vertical="center" wrapText="1"/>
    </x:xf>
    <x:xf numFmtId="0" fontId="0" fillId="0" borderId="94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horizontal="center" vertical="top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95" xfId="0" applyNumberFormat="1" applyFont="1" applyFill="1" applyBorder="1" applyAlignment="1">
      <x:alignment horizontal="center" vertical="center" wrapText="1"/>
    </x:xf>
    <x:xf numFmtId="0" fontId="4" fillId="19" borderId="96" xfId="0" applyNumberFormat="1" applyFont="1" applyFill="1" applyBorder="1" applyAlignment="1">
      <x:alignment horizontal="center" vertical="center" wrapText="1"/>
    </x:xf>
    <x:xf numFmtId="0" fontId="4" fillId="19" borderId="96" xfId="0" applyNumberFormat="1" applyFont="1" applyFill="1" applyBorder="1"/>
    <x:xf numFmtId="0" fontId="4" fillId="19" borderId="97" xfId="0" applyNumberFormat="1" applyFont="1" applyFill="1" applyBorder="1"/>
    <x:xf numFmtId="0" fontId="4" fillId="19" borderId="96" xfId="0" applyNumberFormat="1" applyFont="1" applyFill="1" applyBorder="1" applyAlignment="1">
      <x:alignment wrapText="1"/>
    </x:xf>
    <x:xf numFmtId="0" fontId="4" fillId="19" borderId="97" xfId="0" applyNumberFormat="1" applyFont="1" applyFill="1" applyBorder="1" applyAlignment="1">
      <x:alignment wrapText="1"/>
    </x:xf>
    <x:xf numFmtId="0" fontId="4" fillId="19" borderId="96" xfId="0" applyNumberFormat="1" applyFont="1" applyFill="1" applyBorder="1" applyAlignment="1">
      <x:alignment horizontal="center" wrapText="1"/>
    </x:xf>
    <x:xf numFmtId="0" fontId="4" fillId="19" borderId="97" xfId="0" applyNumberFormat="1" applyFont="1" applyFill="1" applyBorder="1" applyAlignment="1">
      <x:alignment horizontal="center" wrapText="1"/>
    </x:xf>
    <x:xf numFmtId="0" fontId="4" fillId="19" borderId="97" xfId="0" applyNumberFormat="1" applyFont="1" applyFill="1" applyBorder="1" applyAlignment="1">
      <x:alignment horizontal="center" vertical="center" wrapText="1"/>
    </x:xf>
    <x:xf numFmtId="0" fontId="5" fillId="0" borderId="98" xfId="0" applyNumberFormat="1" applyFont="1" applyFill="1" applyBorder="1" applyAlignment="1">
      <x:alignment horizontal="center" vertical="center" wrapText="1"/>
    </x:xf>
    <x:xf numFmtId="0" fontId="5" fillId="0" borderId="99" xfId="0" applyNumberFormat="1" applyFont="1" applyFill="1" applyBorder="1" applyAlignment="1">
      <x:alignment horizontal="center" vertical="center" wrapText="1"/>
    </x:xf>
    <x:xf numFmtId="0" fontId="5" fillId="0" borderId="99" xfId="0" applyNumberFormat="1" applyFont="1" applyFill="1" applyBorder="1" applyAlignment="1">
      <x:alignment vertical="top" wrapText="1"/>
    </x:xf>
    <x:xf numFmtId="0" fontId="5" fillId="16" borderId="99" xfId="0" applyNumberFormat="1" applyFont="1" applyFill="1" applyBorder="1" applyAlignment="1">
      <x:alignment vertical="top" wrapText="1"/>
    </x:xf>
    <x:xf numFmtId="0" fontId="13" fillId="13" borderId="99" xfId="0" applyNumberFormat="1" applyFont="1" applyFill="1" applyBorder="1" applyAlignment="1">
      <x:alignment horizontal="center" vertical="top" wrapText="1"/>
    </x:xf>
    <x:xf numFmtId="0" fontId="5" fillId="17" borderId="99" xfId="0" applyNumberFormat="1" applyFont="1" applyFill="1" applyBorder="1" applyAlignment="1">
      <x:alignment horizontal="center" vertical="top" wrapText="1"/>
    </x:xf>
    <x:xf numFmtId="0" fontId="5" fillId="17" borderId="99" xfId="0" applyNumberFormat="1" applyFont="1" applyFill="1" applyBorder="1" applyAlignment="1">
      <x:alignment horizontal="center" vertical="center" wrapText="1"/>
    </x:xf>
    <x:xf numFmtId="0" fontId="14" fillId="17" borderId="99" xfId="0" applyNumberFormat="1" applyFont="1" applyFill="1" applyBorder="1" applyAlignment="1">
      <x:alignment horizontal="center" vertical="center" wrapText="1"/>
    </x:xf>
    <x:xf numFmtId="0" fontId="5" fillId="17" borderId="99" xfId="0" applyNumberFormat="1" applyFont="1" applyFill="1" applyBorder="1" applyAlignment="1">
      <x:alignment vertical="top" wrapText="1"/>
    </x:xf>
    <x:xf numFmtId="0" fontId="5" fillId="0" borderId="99" xfId="0" applyNumberFormat="1" applyFont="1" applyFill="1" applyBorder="1"/>
    <x:xf numFmtId="0" fontId="5" fillId="0" borderId="100" xfId="0" applyNumberFormat="1" applyFont="1" applyFill="1" applyBorder="1"/>
    <x:xf numFmtId="0" fontId="5" fillId="0" borderId="101" xfId="0" applyNumberFormat="1" applyFont="1" applyFill="1" applyBorder="1" applyAlignment="1">
      <x:alignment horizontal="center" vertical="center" wrapText="1"/>
    </x:xf>
    <x:xf numFmtId="0" fontId="5" fillId="0" borderId="102" xfId="0" applyNumberFormat="1" applyFont="1" applyFill="1" applyBorder="1"/>
    <x:xf numFmtId="0" fontId="5" fillId="0" borderId="103" xfId="0" applyNumberFormat="1" applyFont="1" applyFill="1" applyBorder="1" applyAlignment="1">
      <x:alignment horizontal="center" vertical="center" wrapText="1"/>
    </x:xf>
    <x:xf numFmtId="0" fontId="5" fillId="0" borderId="104" xfId="0" applyNumberFormat="1" applyFont="1" applyFill="1" applyBorder="1" applyAlignment="1">
      <x:alignment horizontal="center" vertical="center" wrapText="1"/>
    </x:xf>
    <x:xf numFmtId="0" fontId="5" fillId="0" borderId="104" xfId="0" applyNumberFormat="1" applyFont="1" applyFill="1" applyBorder="1" applyAlignment="1">
      <x:alignment vertical="top" wrapText="1"/>
    </x:xf>
    <x:xf numFmtId="0" fontId="5" fillId="16" borderId="104" xfId="0" applyNumberFormat="1" applyFont="1" applyFill="1" applyBorder="1" applyAlignment="1">
      <x:alignment vertical="top" wrapText="1"/>
    </x:xf>
    <x:xf numFmtId="0" fontId="13" fillId="13" borderId="104" xfId="0" applyNumberFormat="1" applyFont="1" applyFill="1" applyBorder="1" applyAlignment="1">
      <x:alignment horizontal="center" vertical="top" wrapText="1"/>
    </x:xf>
    <x:xf numFmtId="0" fontId="5" fillId="17" borderId="104" xfId="0" applyNumberFormat="1" applyFont="1" applyFill="1" applyBorder="1" applyAlignment="1">
      <x:alignment horizontal="center" vertical="top" wrapText="1"/>
    </x:xf>
    <x:xf numFmtId="0" fontId="5" fillId="17" borderId="104" xfId="0" applyNumberFormat="1" applyFont="1" applyFill="1" applyBorder="1" applyAlignment="1">
      <x:alignment horizontal="center" vertical="center" wrapText="1"/>
    </x:xf>
    <x:xf numFmtId="0" fontId="14" fillId="17" borderId="104" xfId="0" applyNumberFormat="1" applyFont="1" applyFill="1" applyBorder="1" applyAlignment="1">
      <x:alignment horizontal="center" vertical="center" wrapText="1"/>
    </x:xf>
    <x:xf numFmtId="0" fontId="5" fillId="17" borderId="104" xfId="0" applyNumberFormat="1" applyFont="1" applyFill="1" applyBorder="1" applyAlignment="1">
      <x:alignment vertical="top" wrapText="1"/>
    </x:xf>
    <x:xf numFmtId="0" fontId="5" fillId="0" borderId="104" xfId="0" applyNumberFormat="1" applyFont="1" applyFill="1" applyBorder="1"/>
    <x:xf numFmtId="0" fontId="5" fillId="0" borderId="105" xfId="0" applyNumberFormat="1" applyFont="1" applyFill="1" applyBorder="1"/>
    <x:xf numFmtId="0" fontId="5" fillId="0" borderId="99" xfId="0" applyNumberFormat="1" applyFont="1" applyFill="1" applyBorder="1" applyAlignment="1">
      <x:alignment wrapText="1"/>
    </x:xf>
    <x:xf numFmtId="0" fontId="5" fillId="0" borderId="100" xfId="0" applyNumberFormat="1" applyFont="1" applyFill="1" applyBorder="1" applyAlignment="1">
      <x:alignment wrapText="1"/>
    </x:xf>
    <x:xf numFmtId="0" fontId="5" fillId="0" borderId="102" xfId="0" applyNumberFormat="1" applyFont="1" applyFill="1" applyBorder="1" applyAlignment="1">
      <x:alignment wrapText="1"/>
    </x:xf>
    <x:xf numFmtId="0" fontId="5" fillId="0" borderId="104" xfId="0" applyNumberFormat="1" applyFont="1" applyFill="1" applyBorder="1" applyAlignment="1">
      <x:alignment wrapText="1"/>
    </x:xf>
    <x:xf numFmtId="0" fontId="5" fillId="0" borderId="105" xfId="0" applyNumberFormat="1" applyFont="1" applyFill="1" applyBorder="1" applyAlignment="1">
      <x:alignment wrapText="1"/>
    </x:xf>
    <x:xf numFmtId="0" fontId="5" fillId="0" borderId="98" xfId="0" applyNumberFormat="1" applyFont="1" applyFill="1" applyBorder="1" applyAlignment="1">
      <x:alignment horizontal="center" vertical="top" wrapText="1"/>
    </x:xf>
    <x:xf numFmtId="0" fontId="5" fillId="0" borderId="99" xfId="0" applyNumberFormat="1" applyFont="1" applyFill="1" applyBorder="1" applyAlignment="1">
      <x:alignment horizontal="center" vertical="top" wrapText="1"/>
    </x:xf>
    <x:xf numFmtId="0" fontId="14" fillId="17" borderId="99" xfId="0" applyNumberFormat="1" applyFont="1" applyFill="1" applyBorder="1" applyAlignment="1">
      <x:alignment horizontal="center" vertical="top" wrapText="1"/>
    </x:xf>
    <x:xf numFmtId="0" fontId="5" fillId="0" borderId="100" xfId="0" applyNumberFormat="1" applyFont="1" applyFill="1" applyBorder="1" applyAlignment="1">
      <x:alignment vertical="top" wrapText="1"/>
    </x:xf>
    <x:xf numFmtId="0" fontId="5" fillId="0" borderId="101" xfId="0" applyNumberFormat="1" applyFont="1" applyFill="1" applyBorder="1" applyAlignment="1">
      <x:alignment horizontal="center" vertical="top" wrapText="1"/>
    </x:xf>
    <x:xf numFmtId="0" fontId="14" fillId="17" xfId="0" applyNumberFormat="1" applyFont="1" applyFill="1" applyBorder="0" applyAlignment="1">
      <x:alignment horizontal="center" vertical="top" wrapText="1"/>
    </x:xf>
    <x:xf numFmtId="0" fontId="5" fillId="0" borderId="102" xfId="0" applyNumberFormat="1" applyFont="1" applyFill="1" applyBorder="1" applyAlignment="1">
      <x:alignment vertical="top" wrapText="1"/>
    </x:xf>
    <x:xf numFmtId="0" fontId="5" fillId="0" borderId="103" xfId="0" applyNumberFormat="1" applyFont="1" applyFill="1" applyBorder="1" applyAlignment="1">
      <x:alignment horizontal="center" vertical="top" wrapText="1"/>
    </x:xf>
    <x:xf numFmtId="0" fontId="5" fillId="0" borderId="104" xfId="0" applyNumberFormat="1" applyFont="1" applyFill="1" applyBorder="1" applyAlignment="1">
      <x:alignment horizontal="center" vertical="top" wrapText="1"/>
    </x:xf>
    <x:xf numFmtId="0" fontId="14" fillId="17" borderId="104" xfId="0" applyNumberFormat="1" applyFont="1" applyFill="1" applyBorder="1" applyAlignment="1">
      <x:alignment horizontal="center" vertical="top" wrapText="1"/>
    </x:xf>
    <x:xf numFmtId="0" fontId="5" fillId="0" borderId="105" xfId="0" applyNumberFormat="1" applyFont="1" applyFill="1" applyBorder="1" applyAlignment="1">
      <x:alignment vertical="top" wrapText="1"/>
    </x:xf>
    <x:xf numFmtId="0" fontId="13" fillId="13" borderId="99" xfId="0" applyNumberFormat="1" applyFont="1" applyFill="1" applyBorder="1" applyAlignment="1">
      <x:alignment horizontal="center" vertical="center" wrapText="1"/>
    </x:xf>
    <x:xf numFmtId="0" fontId="13" fillId="13" xfId="0" applyNumberFormat="1" applyFont="1" applyFill="1" applyBorder="0" applyAlignment="1">
      <x:alignment horizontal="center" vertical="center" wrapText="1"/>
    </x:xf>
    <x:xf numFmtId="0" fontId="13" fillId="13" borderId="104" xfId="0" applyNumberFormat="1" applyFont="1" applyFill="1" applyBorder="1" applyAlignment="1">
      <x:alignment horizontal="center" vertical="center" wrapText="1"/>
    </x:xf>
    <x:xf numFmtId="0" fontId="5" fillId="20" borderId="99" xfId="0" applyNumberFormat="1" applyFont="1" applyFill="1" applyBorder="1" applyAlignment="1">
      <x:alignment vertical="top" wrapText="1"/>
    </x:xf>
    <x:xf numFmtId="0" fontId="5" fillId="20" xfId="0" applyNumberFormat="1" applyFont="1" applyFill="1" applyBorder="0" applyAlignment="1">
      <x:alignment vertical="top" wrapText="1"/>
    </x:xf>
    <x:xf numFmtId="0" fontId="5" fillId="20" borderId="104" xfId="0" applyNumberFormat="1" applyFont="1" applyFill="1" applyBorder="1" applyAlignment="1">
      <x:alignment vertical="top" wrapText="1"/>
    </x:xf>
    <x:xf numFmtId="0" fontId="15" fillId="20" borderId="99" xfId="0" applyNumberFormat="1" applyFont="1" applyFill="1" applyBorder="1" applyAlignment="1">
      <x:alignment vertical="top" wrapText="1"/>
    </x:xf>
    <x:xf numFmtId="0" fontId="15" fillId="20" xfId="0" applyNumberFormat="1" applyFont="1" applyFill="1" applyBorder="0" applyAlignment="1">
      <x:alignment vertical="top" wrapText="1"/>
    </x:xf>
    <x:xf numFmtId="0" fontId="15" fillId="20" borderId="104" xfId="0" applyNumberFormat="1" applyFont="1" applyFill="1" applyBorder="1" applyAlignment="1">
      <x:alignment vertical="top" wrapText="1"/>
    </x:xf>
    <x:xf numFmtId="0" fontId="13" fillId="21" borderId="99" xfId="0" applyNumberFormat="1" applyFont="1" applyFill="1" applyBorder="1" applyAlignment="1">
      <x:alignment horizontal="center" vertical="center" wrapText="1"/>
    </x:xf>
    <x:xf numFmtId="0" fontId="5" fillId="21" borderId="99" xfId="0" applyNumberFormat="1" applyFont="1" applyFill="1" applyBorder="1" applyAlignment="1">
      <x:alignment horizontal="center" vertical="top" wrapText="1"/>
    </x:xf>
    <x:xf numFmtId="0" fontId="13" fillId="21" xfId="0" applyNumberFormat="1" applyFont="1" applyFill="1" applyBorder="0" applyAlignment="1">
      <x:alignment horizontal="center" vertical="center" wrapText="1"/>
    </x:xf>
    <x:xf numFmtId="0" fontId="5" fillId="21" xfId="0" applyNumberFormat="1" applyFont="1" applyFill="1" applyBorder="0" applyAlignment="1">
      <x:alignment horizontal="center" vertical="top" wrapText="1"/>
    </x:xf>
    <x:xf numFmtId="0" fontId="13" fillId="21" borderId="104" xfId="0" applyNumberFormat="1" applyFont="1" applyFill="1" applyBorder="1" applyAlignment="1">
      <x:alignment horizontal="center" vertical="center" wrapText="1"/>
    </x:xf>
    <x:xf numFmtId="0" fontId="5" fillId="21" borderId="104" xfId="0" applyNumberFormat="1" applyFont="1" applyFill="1" applyBorder="1" applyAlignment="1">
      <x:alignment horizontal="center" vertical="top" wrapText="1"/>
    </x:xf>
    <x:xf numFmtId="0" fontId="14" fillId="22" borderId="99" xfId="0" applyNumberFormat="1" applyFont="1" applyFill="1" applyBorder="1" applyAlignment="1">
      <x:alignment horizontal="center" vertical="top" wrapText="1"/>
    </x:xf>
    <x:xf numFmtId="0" fontId="5" fillId="22" borderId="99" xfId="0" applyNumberFormat="1" applyFont="1" applyFill="1" applyBorder="1" applyAlignment="1">
      <x:alignment horizontal="center" vertical="center" wrapText="1"/>
    </x:xf>
    <x:xf numFmtId="0" fontId="5" fillId="22" borderId="99" xfId="0" applyNumberFormat="1" applyFont="1" applyFill="1" applyBorder="1" applyAlignment="1">
      <x:alignment horizontal="center" vertical="top" wrapText="1"/>
    </x:xf>
    <x:xf numFmtId="0" fontId="5" fillId="22" borderId="99" xfId="0" applyNumberFormat="1" applyFont="1" applyFill="1" applyBorder="1" applyAlignment="1">
      <x:alignment vertical="top" wrapText="1"/>
    </x:xf>
    <x:xf numFmtId="0" fontId="14" fillId="22" xfId="0" applyNumberFormat="1" applyFont="1" applyFill="1" applyBorder="0" applyAlignment="1">
      <x:alignment horizontal="center" vertical="top" wrapText="1"/>
    </x:xf>
    <x:xf numFmtId="0" fontId="5" fillId="22" xfId="0" applyNumberFormat="1" applyFont="1" applyFill="1" applyBorder="0" applyAlignment="1">
      <x:alignment horizontal="center" vertical="center" wrapText="1"/>
    </x:xf>
    <x:xf numFmtId="0" fontId="5" fillId="22" xfId="0" applyNumberFormat="1" applyFont="1" applyFill="1" applyBorder="0" applyAlignment="1">
      <x:alignment horizontal="center" vertical="top" wrapText="1"/>
    </x:xf>
    <x:xf numFmtId="0" fontId="5" fillId="22" xfId="0" applyNumberFormat="1" applyFont="1" applyFill="1" applyBorder="0" applyAlignment="1">
      <x:alignment vertical="top" wrapText="1"/>
    </x:xf>
    <x:xf numFmtId="0" fontId="14" fillId="22" borderId="104" xfId="0" applyNumberFormat="1" applyFont="1" applyFill="1" applyBorder="1" applyAlignment="1">
      <x:alignment horizontal="center" vertical="top" wrapText="1"/>
    </x:xf>
    <x:xf numFmtId="0" fontId="5" fillId="22" borderId="104" xfId="0" applyNumberFormat="1" applyFont="1" applyFill="1" applyBorder="1" applyAlignment="1">
      <x:alignment horizontal="center" vertical="center" wrapText="1"/>
    </x:xf>
    <x:xf numFmtId="0" fontId="5" fillId="22" borderId="104" xfId="0" applyNumberFormat="1" applyFont="1" applyFill="1" applyBorder="1" applyAlignment="1">
      <x:alignment horizontal="center" vertical="top" wrapText="1"/>
    </x:xf>
    <x:xf numFmtId="0" fontId="5" fillId="22" borderId="104" xfId="0" applyNumberFormat="1" applyFont="1" applyFill="1" applyBorder="1" applyAlignment="1">
      <x:alignment vertical="top" wrapText="1"/>
    </x:xf>
    <x:xf numFmtId="0" fontId="16" fillId="22" borderId="99" xfId="0" applyNumberFormat="1" applyFont="1" applyFill="1" applyBorder="1" applyAlignment="1">
      <x:alignment horizontal="center" vertical="top" wrapText="1"/>
    </x:xf>
    <x:xf numFmtId="0" fontId="16" fillId="22" xfId="0" applyNumberFormat="1" applyFont="1" applyFill="1" applyBorder="0" applyAlignment="1">
      <x:alignment horizontal="center" vertical="top" wrapText="1"/>
    </x:xf>
    <x:xf numFmtId="0" fontId="16" fillId="22" borderId="104" xfId="0" applyNumberFormat="1" applyFont="1" applyFill="1" applyBorder="1" applyAlignment="1">
      <x:alignment horizontal="center" vertical="top"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horizontal="center"/>
    </x:xf>
    <x:xf numFmtId="0" fontId="10" fillId="23" borderId="0" xfId="0" applyNumberFormat="1" applyFont="1" applyFill="1" applyBorder="1" applyAlignment="1">
      <x:alignment horizontal="center" vertical="center"/>
    </x:xf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horizontal="center" wrapText="1"/>
    </x:xf>
    <x:xf numFmtId="0" fontId="5" fillId="0" borderId="106" xfId="0" applyNumberFormat="1" applyFont="1" applyFill="1" applyBorder="1"/>
    <x:xf numFmtId="0" fontId="5" fillId="0" borderId="107" xfId="0" applyNumberFormat="1" applyFont="1" applyFill="1" applyBorder="1"/>
    <x:xf numFmtId="0" fontId="5" fillId="0" borderId="108" xfId="0" applyNumberFormat="1" applyFont="1" applyFill="1" applyBorder="1"/>
    <x:xf numFmtId="0" fontId="5" fillId="0" borderId="109" xfId="0" applyNumberFormat="1" applyFont="1" applyFill="1" applyBorder="1"/>
    <x:xf numFmtId="0" fontId="5" fillId="0" borderId="110" xfId="0" applyNumberFormat="1" applyFont="1" applyFill="1" applyBorder="1"/>
    <x:xf numFmtId="0" fontId="5" fillId="0" borderId="111" xfId="0" applyNumberFormat="1" applyFont="1" applyFill="1" applyBorder="1"/>
    <x:xf numFmtId="0" fontId="5" fillId="0" borderId="112" xfId="0" applyNumberFormat="1" applyFont="1" applyFill="1" applyBorder="1"/>
    <x:xf numFmtId="0" fontId="5" fillId="0" borderId="113" xfId="0" applyNumberFormat="1" applyFont="1" applyFill="1" applyBorder="1"/>
    <x:xf numFmtId="0" fontId="5" fillId="0" borderId="106" xfId="0" applyNumberFormat="1" applyFont="1" applyFill="1" applyBorder="1" applyAlignment="1">
      <x:alignment wrapText="1"/>
    </x:xf>
    <x:xf numFmtId="0" fontId="5" fillId="0" borderId="107" xfId="0" applyNumberFormat="1" applyFont="1" applyFill="1" applyBorder="1" applyAlignment="1">
      <x:alignment wrapText="1"/>
    </x:xf>
    <x:xf numFmtId="0" fontId="5" fillId="0" borderId="108" xfId="0" applyNumberFormat="1" applyFont="1" applyFill="1" applyBorder="1" applyAlignment="1">
      <x:alignment wrapText="1"/>
    </x:xf>
    <x:xf numFmtId="0" fontId="5" fillId="0" borderId="109" xfId="0" applyNumberFormat="1" applyFont="1" applyFill="1" applyBorder="1" applyAlignment="1">
      <x:alignment wrapText="1"/>
    </x:xf>
    <x:xf numFmtId="0" fontId="5" fillId="0" borderId="110" xfId="0" applyNumberFormat="1" applyFont="1" applyFill="1" applyBorder="1" applyAlignment="1">
      <x:alignment wrapText="1"/>
    </x:xf>
    <x:xf numFmtId="0" fontId="5" fillId="0" borderId="111" xfId="0" applyNumberFormat="1" applyFont="1" applyFill="1" applyBorder="1" applyAlignment="1">
      <x:alignment wrapText="1"/>
    </x:xf>
    <x:xf numFmtId="0" fontId="5" fillId="0" borderId="112" xfId="0" applyNumberFormat="1" applyFont="1" applyFill="1" applyBorder="1" applyAlignment="1">
      <x:alignment wrapText="1"/>
    </x:xf>
    <x:xf numFmtId="0" fontId="5" fillId="0" borderId="113" xfId="0" applyNumberFormat="1" applyFont="1" applyFill="1" applyBorder="1" applyAlignment="1">
      <x:alignment wrapText="1"/>
    </x:xf>
    <x:xf numFmtId="0" fontId="5" fillId="0" borderId="106" xfId="0" applyNumberFormat="1" applyFont="1" applyFill="1" applyBorder="1" applyAlignment="1">
      <x:alignment vertical="center" wrapText="1"/>
    </x:xf>
    <x:xf numFmtId="0" fontId="5" fillId="0" borderId="107" xfId="0" applyNumberFormat="1" applyFont="1" applyFill="1" applyBorder="1" applyAlignment="1">
      <x:alignment vertical="center" wrapText="1"/>
    </x:xf>
    <x:xf numFmtId="0" fontId="5" fillId="0" borderId="108" xfId="0" applyNumberFormat="1" applyFont="1" applyFill="1" applyBorder="1" applyAlignment="1">
      <x:alignment vertical="center" wrapText="1"/>
    </x:xf>
    <x:xf numFmtId="0" fontId="5" fillId="0" borderId="109" xfId="0" applyNumberFormat="1" applyFont="1" applyFill="1" applyBorder="1" applyAlignment="1">
      <x:alignment vertical="center" wrapText="1"/>
    </x:xf>
    <x:xf numFmtId="0" fontId="5" fillId="0" xfId="0" applyNumberFormat="1" applyFont="1" applyFill="1" applyBorder="0" applyAlignment="1">
      <x:alignment vertical="center" wrapText="1"/>
    </x:xf>
    <x:xf numFmtId="0" fontId="5" fillId="0" borderId="110" xfId="0" applyNumberFormat="1" applyFont="1" applyFill="1" applyBorder="1" applyAlignment="1">
      <x:alignment vertical="center" wrapText="1"/>
    </x:xf>
    <x:xf numFmtId="0" fontId="5" fillId="0" borderId="111" xfId="0" applyNumberFormat="1" applyFont="1" applyFill="1" applyBorder="1" applyAlignment="1">
      <x:alignment vertical="center" wrapText="1"/>
    </x:xf>
    <x:xf numFmtId="0" fontId="5" fillId="0" borderId="112" xfId="0" applyNumberFormat="1" applyFont="1" applyFill="1" applyBorder="1" applyAlignment="1">
      <x:alignment vertical="center" wrapText="1"/>
    </x:xf>
    <x:xf numFmtId="0" fontId="5" fillId="0" borderId="113" xfId="0" applyNumberFormat="1" applyFont="1" applyFill="1" applyBorder="1" applyAlignment="1">
      <x:alignment vertical="center" wrapText="1"/>
    </x:xf>
    <x:xf numFmtId="0" fontId="7" fillId="19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/>
    <x:xf numFmtId="0" fontId="0" fillId="24" borderId="114" xfId="0" applyNumberFormat="1" applyFont="1" applyFill="1" applyBorder="1"/>
    <x:xf numFmtId="0" fontId="0" fillId="24" borderId="115" xfId="0" applyNumberFormat="1" applyFont="1" applyFill="1" applyBorder="1"/>
    <x:xf numFmtId="0" fontId="0" fillId="24" borderId="116" xfId="0" applyNumberFormat="1" applyFont="1" applyFill="1" applyBorder="1"/>
    <x:xf numFmtId="0" fontId="0" fillId="24" borderId="117" xfId="0" applyNumberFormat="1" applyFont="1" applyFill="1" applyBorder="1"/>
    <x:xf numFmtId="0" fontId="0" fillId="24" borderId="118" xfId="0" applyNumberFormat="1" applyFont="1" applyFill="1" applyBorder="1"/>
    <x:xf numFmtId="0" fontId="0" fillId="24" borderId="119" xfId="0" applyNumberFormat="1" applyFont="1" applyFill="1" applyBorder="1"/>
    <x:xf numFmtId="0" fontId="14" fillId="17" borderId="0" xfId="0" applyNumberFormat="1" applyFont="1" applyFill="1" applyBorder="1" applyAlignment="1">
      <x:alignment horizontal="center" vertical="top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5" fillId="20" borderId="0" xfId="0" applyNumberFormat="1" applyFont="1" applyFill="1" applyBorder="1" applyAlignment="1">
      <x:alignment vertical="top" wrapText="1"/>
    </x:xf>
    <x:xf numFmtId="0" fontId="15" fillId="20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horizontal="center" vertical="center" wrapText="1"/>
    </x:xf>
    <x:xf numFmtId="0" fontId="5" fillId="21" borderId="0" xfId="0" applyNumberFormat="1" applyFont="1" applyFill="1" applyBorder="1" applyAlignment="1">
      <x:alignment horizontal="center" vertical="top" wrapText="1"/>
    </x:xf>
    <x:xf numFmtId="0" fontId="14" fillId="22" borderId="0" xfId="0" applyNumberFormat="1" applyFont="1" applyFill="1" applyBorder="1" applyAlignment="1">
      <x:alignment horizontal="center" vertical="top" wrapText="1"/>
    </x:xf>
    <x:xf numFmtId="0" fontId="5" fillId="22" borderId="0" xfId="0" applyNumberFormat="1" applyFont="1" applyFill="1" applyBorder="1" applyAlignment="1">
      <x:alignment horizontal="center" vertical="center" wrapText="1"/>
    </x:xf>
    <x:xf numFmtId="0" fontId="5" fillId="22" borderId="0" xfId="0" applyNumberFormat="1" applyFont="1" applyFill="1" applyBorder="1" applyAlignment="1">
      <x:alignment horizontal="center"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16" fillId="2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9" fillId="25" borderId="0" xfId="0" applyNumberFormat="1" applyFont="1" applyFill="1" applyBorder="1"/>
    <x:xf numFmtId="0" fontId="9" fillId="25" borderId="120" xfId="0" applyNumberFormat="1" applyFont="1" applyFill="1" applyBorder="1"/>
    <x:xf numFmtId="0" fontId="9" fillId="25" borderId="121" xfId="0" applyNumberFormat="1" applyFont="1" applyFill="1" applyBorder="1"/>
    <x:xf numFmtId="0" fontId="0" fillId="25" borderId="120" xfId="0" applyNumberFormat="1" applyFont="1" applyFill="1" applyBorder="1"/>
    <x:xf numFmtId="0" fontId="0" fillId="25" borderId="121" xfId="0" applyNumberFormat="1" applyFont="1" applyFill="1" applyBorder="1"/>
    <x:xf numFmtId="0" fontId="9" fillId="24" borderId="0" xfId="0" applyNumberFormat="1" applyFont="1" applyFill="1" applyBorder="1"/>
    <x:xf numFmtId="0" fontId="7" fillId="26" borderId="0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9" fillId="27" borderId="120" xfId="0" applyNumberFormat="1" applyFont="1" applyFill="1" applyBorder="1"/>
    <x:xf numFmtId="0" fontId="0" fillId="27" borderId="120" xfId="0" applyNumberFormat="1" applyFont="1" applyFill="1" applyBorder="1"/>
    <x:xf numFmtId="0" fontId="0" fillId="27" borderId="122" xfId="0" applyNumberFormat="1" applyFont="1" applyFill="1" applyBorder="1"/>
    <x:xf numFmtId="0" fontId="0" fillId="27" borderId="123" xfId="0" applyNumberFormat="1" applyFont="1" applyFill="1" applyBorder="1"/>
    <x:xf numFmtId="0" fontId="0" fillId="27" borderId="124" xfId="0" applyNumberFormat="1" applyFont="1" applyFill="1" applyBorder="1"/>
    <x:xf numFmtId="0" fontId="0" fillId="27" borderId="125" xfId="0" applyNumberFormat="1" applyFont="1" applyFill="1" applyBorder="1"/>
    <x:xf numFmtId="0" fontId="9" fillId="27" borderId="126" xfId="0" applyNumberFormat="1" applyFont="1" applyFill="1" applyBorder="1"/>
    <x:xf numFmtId="0" fontId="0" fillId="27" borderId="127" xfId="0" applyNumberFormat="1" applyFont="1" applyFill="1" applyBorder="1"/>
    <x:xf numFmtId="0" fontId="4" fillId="28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128" xfId="0" applyNumberFormat="1" applyFont="1" applyFill="1" applyBorder="1" applyAlignment="1">
      <x:alignment horizontal="center" vertical="center" wrapText="1"/>
    </x:xf>
    <x:xf numFmtId="0" fontId="4" fillId="28" borderId="129" xfId="0" applyNumberFormat="1" applyFont="1" applyFill="1" applyBorder="1" applyAlignment="1">
      <x:alignment horizontal="center" vertical="center" wrapText="1"/>
    </x:xf>
    <x:xf numFmtId="0" fontId="4" fillId="28" borderId="129" xfId="0" applyNumberFormat="1" applyFont="1" applyFill="1" applyBorder="1"/>
    <x:xf numFmtId="0" fontId="4" fillId="28" borderId="130" xfId="0" applyNumberFormat="1" applyFont="1" applyFill="1" applyBorder="1"/>
    <x:xf numFmtId="0" fontId="4" fillId="28" borderId="129" xfId="0" applyNumberFormat="1" applyFont="1" applyFill="1" applyBorder="1" applyAlignment="1">
      <x:alignment wrapText="1"/>
    </x:xf>
    <x:xf numFmtId="0" fontId="4" fillId="28" borderId="130" xfId="0" applyNumberFormat="1" applyFont="1" applyFill="1" applyBorder="1" applyAlignment="1">
      <x:alignment wrapText="1"/>
    </x:xf>
    <x:xf numFmtId="0" fontId="4" fillId="28" borderId="129" xfId="0" applyNumberFormat="1" applyFont="1" applyFill="1" applyBorder="1" applyAlignment="1">
      <x:alignment horizontal="center" wrapText="1"/>
    </x:xf>
    <x:xf numFmtId="0" fontId="4" fillId="28" borderId="130" xfId="0" applyNumberFormat="1" applyFont="1" applyFill="1" applyBorder="1" applyAlignment="1">
      <x:alignment horizontal="center" wrapText="1"/>
    </x:xf>
    <x:xf numFmtId="0" fontId="4" fillId="28" borderId="130" xfId="0" applyNumberFormat="1" applyFont="1" applyFill="1" applyBorder="1" applyAlignment="1">
      <x:alignment horizontal="center" vertical="center" wrapText="1"/>
    </x:xf>
    <x:xf numFmtId="0" fontId="5" fillId="0" borderId="131" xfId="0" applyNumberFormat="1" applyFont="1" applyFill="1" applyBorder="1" applyAlignment="1">
      <x:alignment horizontal="center" vertical="center" wrapText="1"/>
    </x:xf>
    <x:xf numFmtId="0" fontId="5" fillId="0" borderId="132" xfId="0" applyNumberFormat="1" applyFont="1" applyFill="1" applyBorder="1" applyAlignment="1">
      <x:alignment horizontal="center" vertical="center" wrapText="1"/>
    </x:xf>
    <x:xf numFmtId="0" fontId="5" fillId="0" borderId="132" xfId="0" applyNumberFormat="1" applyFont="1" applyFill="1" applyBorder="1" applyAlignment="1">
      <x:alignment vertical="top" wrapText="1"/>
    </x:xf>
    <x:xf numFmtId="0" fontId="15" fillId="20" borderId="132" xfId="0" applyNumberFormat="1" applyFont="1" applyFill="1" applyBorder="1" applyAlignment="1">
      <x:alignment vertical="top" wrapText="1"/>
    </x:xf>
    <x:xf numFmtId="0" fontId="13" fillId="21" borderId="132" xfId="0" applyNumberFormat="1" applyFont="1" applyFill="1" applyBorder="1" applyAlignment="1">
      <x:alignment horizontal="center" vertical="center" wrapText="1"/>
    </x:xf>
    <x:xf numFmtId="0" fontId="5" fillId="21" borderId="132" xfId="0" applyNumberFormat="1" applyFont="1" applyFill="1" applyBorder="1" applyAlignment="1">
      <x:alignment horizontal="center" vertical="top" wrapText="1"/>
    </x:xf>
    <x:xf numFmtId="0" fontId="5" fillId="17" borderId="132" xfId="0" applyNumberFormat="1" applyFont="1" applyFill="1" applyBorder="1" applyAlignment="1">
      <x:alignment horizontal="center" vertical="top" wrapText="1"/>
    </x:xf>
    <x:xf numFmtId="0" fontId="14" fillId="22" borderId="132" xfId="0" applyNumberFormat="1" applyFont="1" applyFill="1" applyBorder="1" applyAlignment="1">
      <x:alignment horizontal="center" vertical="top" wrapText="1"/>
    </x:xf>
    <x:xf numFmtId="0" fontId="5" fillId="22" borderId="132" xfId="0" applyNumberFormat="1" applyFont="1" applyFill="1" applyBorder="1" applyAlignment="1">
      <x:alignment horizontal="center" vertical="center" wrapText="1"/>
    </x:xf>
    <x:xf numFmtId="0" fontId="16" fillId="22" borderId="132" xfId="0" applyNumberFormat="1" applyFont="1" applyFill="1" applyBorder="1" applyAlignment="1">
      <x:alignment horizontal="center" vertical="top" wrapText="1"/>
    </x:xf>
    <x:xf numFmtId="0" fontId="5" fillId="22" borderId="132" xfId="0" applyNumberFormat="1" applyFont="1" applyFill="1" applyBorder="1" applyAlignment="1">
      <x:alignment vertical="top" wrapText="1"/>
    </x:xf>
    <x:xf numFmtId="0" fontId="5" fillId="0" borderId="132" xfId="0" applyNumberFormat="1" applyFont="1" applyFill="1" applyBorder="1"/>
    <x:xf numFmtId="0" fontId="5" fillId="0" borderId="133" xfId="0" applyNumberFormat="1" applyFont="1" applyFill="1" applyBorder="1"/>
    <x:xf numFmtId="0" fontId="5" fillId="0" borderId="134" xfId="0" applyNumberFormat="1" applyFont="1" applyFill="1" applyBorder="1" applyAlignment="1">
      <x:alignment horizontal="center" vertical="center" wrapText="1"/>
    </x:xf>
    <x:xf numFmtId="0" fontId="5" fillId="0" borderId="135" xfId="0" applyNumberFormat="1" applyFont="1" applyFill="1" applyBorder="1"/>
    <x:xf numFmtId="0" fontId="5" fillId="0" borderId="136" xfId="0" applyNumberFormat="1" applyFont="1" applyFill="1" applyBorder="1" applyAlignment="1">
      <x:alignment horizontal="center" vertical="center" wrapText="1"/>
    </x:xf>
    <x:xf numFmtId="0" fontId="5" fillId="0" borderId="137" xfId="0" applyNumberFormat="1" applyFont="1" applyFill="1" applyBorder="1" applyAlignment="1">
      <x:alignment horizontal="center" vertical="center" wrapText="1"/>
    </x:xf>
    <x:xf numFmtId="0" fontId="5" fillId="0" borderId="137" xfId="0" applyNumberFormat="1" applyFont="1" applyFill="1" applyBorder="1" applyAlignment="1">
      <x:alignment vertical="top" wrapText="1"/>
    </x:xf>
    <x:xf numFmtId="0" fontId="15" fillId="20" borderId="137" xfId="0" applyNumberFormat="1" applyFont="1" applyFill="1" applyBorder="1" applyAlignment="1">
      <x:alignment vertical="top" wrapText="1"/>
    </x:xf>
    <x:xf numFmtId="0" fontId="13" fillId="21" borderId="137" xfId="0" applyNumberFormat="1" applyFont="1" applyFill="1" applyBorder="1" applyAlignment="1">
      <x:alignment horizontal="center" vertical="center" wrapText="1"/>
    </x:xf>
    <x:xf numFmtId="0" fontId="5" fillId="21" borderId="137" xfId="0" applyNumberFormat="1" applyFont="1" applyFill="1" applyBorder="1" applyAlignment="1">
      <x:alignment horizontal="center" vertical="top" wrapText="1"/>
    </x:xf>
    <x:xf numFmtId="0" fontId="5" fillId="17" borderId="137" xfId="0" applyNumberFormat="1" applyFont="1" applyFill="1" applyBorder="1" applyAlignment="1">
      <x:alignment horizontal="center" vertical="top" wrapText="1"/>
    </x:xf>
    <x:xf numFmtId="0" fontId="14" fillId="22" borderId="137" xfId="0" applyNumberFormat="1" applyFont="1" applyFill="1" applyBorder="1" applyAlignment="1">
      <x:alignment horizontal="center" vertical="top" wrapText="1"/>
    </x:xf>
    <x:xf numFmtId="0" fontId="5" fillId="22" borderId="137" xfId="0" applyNumberFormat="1" applyFont="1" applyFill="1" applyBorder="1" applyAlignment="1">
      <x:alignment horizontal="center" vertical="center" wrapText="1"/>
    </x:xf>
    <x:xf numFmtId="0" fontId="16" fillId="22" borderId="137" xfId="0" applyNumberFormat="1" applyFont="1" applyFill="1" applyBorder="1" applyAlignment="1">
      <x:alignment horizontal="center" vertical="top" wrapText="1"/>
    </x:xf>
    <x:xf numFmtId="0" fontId="5" fillId="22" borderId="137" xfId="0" applyNumberFormat="1" applyFont="1" applyFill="1" applyBorder="1" applyAlignment="1">
      <x:alignment vertical="top" wrapText="1"/>
    </x:xf>
    <x:xf numFmtId="0" fontId="5" fillId="0" borderId="137" xfId="0" applyNumberFormat="1" applyFont="1" applyFill="1" applyBorder="1"/>
    <x:xf numFmtId="0" fontId="5" fillId="0" borderId="138" xfId="0" applyNumberFormat="1" applyFont="1" applyFill="1" applyBorder="1"/>
    <x:xf numFmtId="0" fontId="5" fillId="0" borderId="132" xfId="0" applyNumberFormat="1" applyFont="1" applyFill="1" applyBorder="1" applyAlignment="1">
      <x:alignment wrapText="1"/>
    </x:xf>
    <x:xf numFmtId="0" fontId="5" fillId="0" borderId="133" xfId="0" applyNumberFormat="1" applyFont="1" applyFill="1" applyBorder="1" applyAlignment="1">
      <x:alignment wrapText="1"/>
    </x:xf>
    <x:xf numFmtId="0" fontId="5" fillId="0" borderId="135" xfId="0" applyNumberFormat="1" applyFont="1" applyFill="1" applyBorder="1" applyAlignment="1">
      <x:alignment wrapText="1"/>
    </x:xf>
    <x:xf numFmtId="0" fontId="5" fillId="0" borderId="137" xfId="0" applyNumberFormat="1" applyFont="1" applyFill="1" applyBorder="1" applyAlignment="1">
      <x:alignment wrapText="1"/>
    </x:xf>
    <x:xf numFmtId="0" fontId="5" fillId="0" borderId="138" xfId="0" applyNumberFormat="1" applyFont="1" applyFill="1" applyBorder="1" applyAlignment="1">
      <x:alignment wrapText="1"/>
    </x:xf>
    <x:xf numFmtId="0" fontId="5" fillId="0" borderId="131" xfId="0" applyNumberFormat="1" applyFont="1" applyFill="1" applyBorder="1" applyAlignment="1">
      <x:alignment horizontal="center" vertical="top" wrapText="1"/>
    </x:xf>
    <x:xf numFmtId="0" fontId="5" fillId="0" borderId="132" xfId="0" applyNumberFormat="1" applyFont="1" applyFill="1" applyBorder="1" applyAlignment="1">
      <x:alignment horizontal="center" vertical="top" wrapText="1"/>
    </x:xf>
    <x:xf numFmtId="0" fontId="13" fillId="21" borderId="132" xfId="0" applyNumberFormat="1" applyFont="1" applyFill="1" applyBorder="1" applyAlignment="1">
      <x:alignment horizontal="center" vertical="top" wrapText="1"/>
    </x:xf>
    <x:xf numFmtId="0" fontId="5" fillId="22" borderId="132" xfId="0" applyNumberFormat="1" applyFont="1" applyFill="1" applyBorder="1" applyAlignment="1">
      <x:alignment horizontal="center" vertical="top" wrapText="1"/>
    </x:xf>
    <x:xf numFmtId="0" fontId="5" fillId="0" borderId="133" xfId="0" applyNumberFormat="1" applyFont="1" applyFill="1" applyBorder="1" applyAlignment="1">
      <x:alignment vertical="top" wrapText="1"/>
    </x:xf>
    <x:xf numFmtId="0" fontId="5" fillId="0" borderId="134" xfId="0" applyNumberFormat="1" applyFont="1" applyFill="1" applyBorder="1" applyAlignment="1">
      <x:alignment horizontal="center" vertical="top" wrapText="1"/>
    </x:xf>
    <x:xf numFmtId="0" fontId="13" fillId="21" xfId="0" applyNumberFormat="1" applyFont="1" applyFill="1" applyBorder="0" applyAlignment="1">
      <x:alignment horizontal="center" vertical="top" wrapText="1"/>
    </x:xf>
    <x:xf numFmtId="0" fontId="5" fillId="0" borderId="135" xfId="0" applyNumberFormat="1" applyFont="1" applyFill="1" applyBorder="1" applyAlignment="1">
      <x:alignment vertical="top" wrapText="1"/>
    </x:xf>
    <x:xf numFmtId="0" fontId="5" fillId="0" borderId="136" xfId="0" applyNumberFormat="1" applyFont="1" applyFill="1" applyBorder="1" applyAlignment="1">
      <x:alignment horizontal="center" vertical="top" wrapText="1"/>
    </x:xf>
    <x:xf numFmtId="0" fontId="5" fillId="0" borderId="137" xfId="0" applyNumberFormat="1" applyFont="1" applyFill="1" applyBorder="1" applyAlignment="1">
      <x:alignment horizontal="center" vertical="top" wrapText="1"/>
    </x:xf>
    <x:xf numFmtId="0" fontId="13" fillId="21" borderId="137" xfId="0" applyNumberFormat="1" applyFont="1" applyFill="1" applyBorder="1" applyAlignment="1">
      <x:alignment horizontal="center" vertical="top" wrapText="1"/>
    </x:xf>
    <x:xf numFmtId="0" fontId="5" fillId="22" borderId="137" xfId="0" applyNumberFormat="1" applyFont="1" applyFill="1" applyBorder="1" applyAlignment="1">
      <x:alignment horizontal="center" vertical="top" wrapText="1"/>
    </x:xf>
    <x:xf numFmtId="0" fontId="5" fillId="0" borderId="138" xfId="0" applyNumberFormat="1" applyFont="1" applyFill="1" applyBorder="1" applyAlignment="1">
      <x:alignment vertical="top" wrapText="1"/>
    </x:xf>
    <x:xf numFmtId="0" fontId="5" fillId="21" borderId="132" xfId="0" applyNumberFormat="1" applyFont="1" applyFill="1" applyBorder="1" applyAlignment="1">
      <x:alignment horizontal="center" vertical="center" wrapText="1"/>
    </x:xf>
    <x:xf numFmtId="0" fontId="5" fillId="21" xfId="0" applyNumberFormat="1" applyFont="1" applyFill="1" applyBorder="0" applyAlignment="1">
      <x:alignment horizontal="center" vertical="center" wrapText="1"/>
    </x:xf>
    <x:xf numFmtId="0" fontId="5" fillId="21" borderId="137" xfId="0" applyNumberFormat="1" applyFont="1" applyFill="1" applyBorder="1" applyAlignment="1">
      <x:alignment horizontal="center" vertical="center" wrapText="1"/>
    </x:xf>
    <x:xf numFmtId="0" fontId="5" fillId="17" borderId="132" xfId="0" applyNumberFormat="1" applyFont="1" applyFill="1" applyBorder="1" applyAlignment="1">
      <x:alignment horizontal="center" vertical="center" wrapText="1"/>
    </x:xf>
    <x:xf numFmtId="0" fontId="5" fillId="17" borderId="137" xfId="0" applyNumberFormat="1" applyFont="1" applyFill="1" applyBorder="1" applyAlignment="1">
      <x:alignment horizontal="center" vertical="center" wrapText="1"/>
    </x:xf>
    <x:xf numFmtId="0" fontId="15" fillId="29" borderId="132" xfId="0" applyNumberFormat="1" applyFont="1" applyFill="1" applyBorder="1" applyAlignment="1">
      <x:alignment vertical="top" wrapText="1"/>
    </x:xf>
    <x:xf numFmtId="0" fontId="15" fillId="29" xfId="0" applyNumberFormat="1" applyFont="1" applyFill="1" applyBorder="0" applyAlignment="1">
      <x:alignment vertical="top" wrapText="1"/>
    </x:xf>
    <x:xf numFmtId="0" fontId="15" fillId="29" borderId="137" xfId="0" applyNumberFormat="1" applyFont="1" applyFill="1" applyBorder="1" applyAlignment="1">
      <x:alignment vertical="top" wrapText="1"/>
    </x:xf>
    <x:xf numFmtId="0" fontId="13" fillId="30" borderId="132" xfId="0" applyNumberFormat="1" applyFont="1" applyFill="1" applyBorder="1" applyAlignment="1">
      <x:alignment horizontal="center" vertical="center" wrapText="1"/>
    </x:xf>
    <x:xf numFmtId="0" fontId="13" fillId="30" xfId="0" applyNumberFormat="1" applyFont="1" applyFill="1" applyBorder="0" applyAlignment="1">
      <x:alignment horizontal="center" vertical="center" wrapText="1"/>
    </x:xf>
    <x:xf numFmtId="0" fontId="13" fillId="30" borderId="137" xfId="0" applyNumberFormat="1" applyFont="1" applyFill="1" applyBorder="1" applyAlignment="1">
      <x:alignment horizontal="center" vertical="center" wrapText="1"/>
    </x:xf>
    <x:xf numFmtId="0" fontId="17" fillId="30" borderId="132" xfId="0" applyNumberFormat="1" applyFont="1" applyFill="1" applyBorder="1" applyAlignment="1">
      <x:alignment horizontal="center" vertical="center" wrapText="1"/>
    </x:xf>
    <x:xf numFmtId="0" fontId="17" fillId="30" xfId="0" applyNumberFormat="1" applyFont="1" applyFill="1" applyBorder="0" applyAlignment="1">
      <x:alignment horizontal="center" vertical="center" wrapText="1"/>
    </x:xf>
    <x:xf numFmtId="0" fontId="17" fillId="30" borderId="137" xfId="0" applyNumberFormat="1" applyFont="1" applyFill="1" applyBorder="1" applyAlignment="1">
      <x:alignment horizontal="center" vertical="center" wrapText="1"/>
    </x:xf>
    <x:xf numFmtId="0" fontId="5" fillId="31" borderId="132" xfId="0" applyNumberFormat="1" applyFont="1" applyFill="1" applyBorder="1" applyAlignment="1">
      <x:alignment horizontal="center" vertical="center" wrapText="1"/>
    </x:xf>
    <x:xf numFmtId="0" fontId="5" fillId="31" xfId="0" applyNumberFormat="1" applyFont="1" applyFill="1" applyBorder="0" applyAlignment="1">
      <x:alignment horizontal="center" vertical="center" wrapText="1"/>
    </x:xf>
    <x:xf numFmtId="0" fontId="5" fillId="31" borderId="137" xfId="0" applyNumberFormat="1" applyFont="1" applyFill="1" applyBorder="1" applyAlignment="1">
      <x:alignment horizontal="center" vertical="center" wrapText="1"/>
    </x:xf>
    <x:xf numFmtId="0" fontId="14" fillId="32" borderId="132" xfId="0" applyNumberFormat="1" applyFont="1" applyFill="1" applyBorder="1" applyAlignment="1">
      <x:alignment horizontal="center" vertical="top" wrapText="1"/>
    </x:xf>
    <x:xf numFmtId="0" fontId="5" fillId="32" borderId="132" xfId="0" applyNumberFormat="1" applyFont="1" applyFill="1" applyBorder="1" applyAlignment="1">
      <x:alignment horizontal="center" vertical="top" wrapText="1"/>
    </x:xf>
    <x:xf numFmtId="0" fontId="14" fillId="32" xfId="0" applyNumberFormat="1" applyFont="1" applyFill="1" applyBorder="0" applyAlignment="1">
      <x:alignment horizontal="center" vertical="top" wrapText="1"/>
    </x:xf>
    <x:xf numFmtId="0" fontId="5" fillId="32" xfId="0" applyNumberFormat="1" applyFont="1" applyFill="1" applyBorder="0" applyAlignment="1">
      <x:alignment horizontal="center" vertical="top" wrapText="1"/>
    </x:xf>
    <x:xf numFmtId="0" fontId="14" fillId="32" borderId="137" xfId="0" applyNumberFormat="1" applyFont="1" applyFill="1" applyBorder="1" applyAlignment="1">
      <x:alignment horizontal="center" vertical="top" wrapText="1"/>
    </x:xf>
    <x:xf numFmtId="0" fontId="5" fillId="32" borderId="137" xfId="0" applyNumberFormat="1" applyFont="1" applyFill="1" applyBorder="1" applyAlignment="1">
      <x:alignment horizontal="center" vertical="top" wrapText="1"/>
    </x:xf>
    <x:xf numFmtId="0" fontId="5" fillId="33" borderId="132" xfId="0" applyNumberFormat="1" applyFont="1" applyFill="1" applyBorder="1" applyAlignment="1">
      <x:alignment vertical="top" wrapText="1"/>
    </x:xf>
    <x:xf numFmtId="0" fontId="5" fillId="33" borderId="132" xfId="0" applyNumberFormat="1" applyFont="1" applyFill="1" applyBorder="1" applyAlignment="1">
      <x:alignment horizontal="center" vertical="top" wrapText="1"/>
    </x:xf>
    <x:xf numFmtId="0" fontId="5" fillId="33" borderId="132" xfId="0" applyNumberFormat="1" applyFont="1" applyFill="1" applyBorder="1" applyAlignment="1">
      <x:alignment horizontal="center" vertical="center" wrapText="1"/>
    </x:xf>
    <x:xf numFmtId="0" fontId="5" fillId="33" xfId="0" applyNumberFormat="1" applyFont="1" applyFill="1" applyBorder="0" applyAlignment="1">
      <x:alignment vertical="top" wrapText="1"/>
    </x:xf>
    <x:xf numFmtId="0" fontId="5" fillId="33" xfId="0" applyNumberFormat="1" applyFont="1" applyFill="1" applyBorder="0" applyAlignment="1">
      <x:alignment horizontal="center" vertical="top" wrapText="1"/>
    </x:xf>
    <x:xf numFmtId="0" fontId="5" fillId="33" xfId="0" applyNumberFormat="1" applyFont="1" applyFill="1" applyBorder="0" applyAlignment="1">
      <x:alignment horizontal="center" vertical="center" wrapText="1"/>
    </x:xf>
    <x:xf numFmtId="0" fontId="5" fillId="33" borderId="137" xfId="0" applyNumberFormat="1" applyFont="1" applyFill="1" applyBorder="1" applyAlignment="1">
      <x:alignment vertical="top" wrapText="1"/>
    </x:xf>
    <x:xf numFmtId="0" fontId="5" fillId="33" borderId="137" xfId="0" applyNumberFormat="1" applyFont="1" applyFill="1" applyBorder="1" applyAlignment="1">
      <x:alignment horizontal="center" vertical="top" wrapText="1"/>
    </x:xf>
    <x:xf numFmtId="0" fontId="5" fillId="33" borderId="137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10" fillId="34" borderId="0" xfId="0" applyNumberFormat="1" applyFont="1" applyFill="1" applyBorder="1" applyAlignment="1">
      <x:alignment horizontal="center"/>
    </x:xf>
    <x:xf numFmtId="0" fontId="10" fillId="34" borderId="0" xfId="0" applyNumberFormat="1" applyFont="1" applyFill="1" applyBorder="1" applyAlignment="1">
      <x:alignment horizontal="center" vertical="center"/>
    </x:xf>
    <x:xf numFmtId="0" fontId="7" fillId="28" borderId="0" xfId="0" applyNumberFormat="1" applyFont="1" applyFill="1" applyBorder="1"/>
    <x:xf numFmtId="0" fontId="7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horizontal="center" wrapText="1"/>
    </x:xf>
    <x:xf numFmtId="0" fontId="5" fillId="0" borderId="139" xfId="0" applyNumberFormat="1" applyFont="1" applyFill="1" applyBorder="1"/>
    <x:xf numFmtId="0" fontId="5" fillId="0" borderId="140" xfId="0" applyNumberFormat="1" applyFont="1" applyFill="1" applyBorder="1"/>
    <x:xf numFmtId="0" fontId="5" fillId="0" borderId="141" xfId="0" applyNumberFormat="1" applyFont="1" applyFill="1" applyBorder="1"/>
    <x:xf numFmtId="0" fontId="5" fillId="0" borderId="142" xfId="0" applyNumberFormat="1" applyFont="1" applyFill="1" applyBorder="1"/>
    <x:xf numFmtId="0" fontId="5" fillId="0" borderId="143" xfId="0" applyNumberFormat="1" applyFont="1" applyFill="1" applyBorder="1"/>
    <x:xf numFmtId="0" fontId="5" fillId="0" borderId="144" xfId="0" applyNumberFormat="1" applyFont="1" applyFill="1" applyBorder="1"/>
    <x:xf numFmtId="0" fontId="5" fillId="0" borderId="145" xfId="0" applyNumberFormat="1" applyFont="1" applyFill="1" applyBorder="1"/>
    <x:xf numFmtId="0" fontId="5" fillId="0" borderId="146" xfId="0" applyNumberFormat="1" applyFont="1" applyFill="1" applyBorder="1"/>
    <x:xf numFmtId="0" fontId="5" fillId="0" borderId="139" xfId="0" applyNumberFormat="1" applyFont="1" applyFill="1" applyBorder="1" applyAlignment="1">
      <x:alignment wrapText="1"/>
    </x:xf>
    <x:xf numFmtId="0" fontId="5" fillId="0" borderId="140" xfId="0" applyNumberFormat="1" applyFont="1" applyFill="1" applyBorder="1" applyAlignment="1">
      <x:alignment wrapText="1"/>
    </x:xf>
    <x:xf numFmtId="0" fontId="5" fillId="0" borderId="141" xfId="0" applyNumberFormat="1" applyFont="1" applyFill="1" applyBorder="1" applyAlignment="1">
      <x:alignment wrapText="1"/>
    </x:xf>
    <x:xf numFmtId="0" fontId="5" fillId="0" borderId="142" xfId="0" applyNumberFormat="1" applyFont="1" applyFill="1" applyBorder="1" applyAlignment="1">
      <x:alignment wrapText="1"/>
    </x:xf>
    <x:xf numFmtId="0" fontId="5" fillId="0" borderId="143" xfId="0" applyNumberFormat="1" applyFont="1" applyFill="1" applyBorder="1" applyAlignment="1">
      <x:alignment wrapText="1"/>
    </x:xf>
    <x:xf numFmtId="0" fontId="5" fillId="0" borderId="144" xfId="0" applyNumberFormat="1" applyFont="1" applyFill="1" applyBorder="1" applyAlignment="1">
      <x:alignment wrapText="1"/>
    </x:xf>
    <x:xf numFmtId="0" fontId="5" fillId="0" borderId="145" xfId="0" applyNumberFormat="1" applyFont="1" applyFill="1" applyBorder="1" applyAlignment="1">
      <x:alignment wrapText="1"/>
    </x:xf>
    <x:xf numFmtId="0" fontId="5" fillId="0" borderId="146" xfId="0" applyNumberFormat="1" applyFont="1" applyFill="1" applyBorder="1" applyAlignment="1">
      <x:alignment wrapText="1"/>
    </x:xf>
    <x:xf numFmtId="0" fontId="5" fillId="0" borderId="139" xfId="0" applyNumberFormat="1" applyFont="1" applyFill="1" applyBorder="1" applyAlignment="1">
      <x:alignment vertical="center" wrapText="1"/>
    </x:xf>
    <x:xf numFmtId="0" fontId="5" fillId="0" borderId="140" xfId="0" applyNumberFormat="1" applyFont="1" applyFill="1" applyBorder="1" applyAlignment="1">
      <x:alignment vertical="center" wrapText="1"/>
    </x:xf>
    <x:xf numFmtId="0" fontId="5" fillId="0" borderId="141" xfId="0" applyNumberFormat="1" applyFont="1" applyFill="1" applyBorder="1" applyAlignment="1">
      <x:alignment vertical="center" wrapText="1"/>
    </x:xf>
    <x:xf numFmtId="0" fontId="5" fillId="0" borderId="142" xfId="0" applyNumberFormat="1" applyFont="1" applyFill="1" applyBorder="1" applyAlignment="1">
      <x:alignment vertical="center" wrapText="1"/>
    </x:xf>
    <x:xf numFmtId="0" fontId="5" fillId="0" borderId="143" xfId="0" applyNumberFormat="1" applyFont="1" applyFill="1" applyBorder="1" applyAlignment="1">
      <x:alignment vertical="center" wrapText="1"/>
    </x:xf>
    <x:xf numFmtId="0" fontId="5" fillId="0" borderId="144" xfId="0" applyNumberFormat="1" applyFont="1" applyFill="1" applyBorder="1" applyAlignment="1">
      <x:alignment vertical="center" wrapText="1"/>
    </x:xf>
    <x:xf numFmtId="0" fontId="5" fillId="0" borderId="145" xfId="0" applyNumberFormat="1" applyFont="1" applyFill="1" applyBorder="1" applyAlignment="1">
      <x:alignment vertical="center" wrapText="1"/>
    </x:xf>
    <x:xf numFmtId="0" fontId="5" fillId="0" borderId="146" xfId="0" applyNumberFormat="1" applyFont="1" applyFill="1" applyBorder="1" applyAlignment="1">
      <x:alignment vertical="center" wrapText="1"/>
    </x:xf>
    <x:xf numFmtId="0" fontId="7" fillId="28" borderId="0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0" fillId="33" borderId="147" xfId="0" applyNumberFormat="1" applyFont="1" applyFill="1" applyBorder="1"/>
    <x:xf numFmtId="0" fontId="0" fillId="33" borderId="148" xfId="0" applyNumberFormat="1" applyFont="1" applyFill="1" applyBorder="1"/>
    <x:xf numFmtId="0" fontId="0" fillId="33" borderId="149" xfId="0" applyNumberFormat="1" applyFont="1" applyFill="1" applyBorder="1"/>
    <x:xf numFmtId="0" fontId="0" fillId="33" borderId="150" xfId="0" applyNumberFormat="1" applyFont="1" applyFill="1" applyBorder="1"/>
    <x:xf numFmtId="0" fontId="0" fillId="33" borderId="151" xfId="0" applyNumberFormat="1" applyFont="1" applyFill="1" applyBorder="1"/>
    <x:xf numFmtId="0" fontId="0" fillId="33" borderId="152" xfId="0" applyNumberFormat="1" applyFont="1" applyFill="1" applyBorder="1"/>
    <x:xf numFmtId="0" fontId="4" fillId="28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 applyAlignment="1">
      <x:alignment horizontal="center" wrapText="1"/>
    </x:xf>
    <x:xf numFmtId="0" fontId="13" fillId="21" borderId="0" xfId="0" applyNumberFormat="1" applyFont="1" applyFill="1" applyBorder="1" applyAlignment="1">
      <x:alignment horizontal="center" vertical="top" wrapText="1"/>
    </x:xf>
    <x:xf numFmtId="0" fontId="5" fillId="21" borderId="0" xfId="0" applyNumberFormat="1" applyFont="1" applyFill="1" applyBorder="1" applyAlignment="1">
      <x:alignment horizontal="center" vertical="center" wrapText="1"/>
    </x:xf>
    <x:xf numFmtId="0" fontId="13" fillId="30" borderId="0" xfId="0" applyNumberFormat="1" applyFont="1" applyFill="1" applyBorder="1" applyAlignment="1">
      <x:alignment horizontal="center" vertical="center" wrapText="1"/>
    </x:xf>
    <x:xf numFmtId="0" fontId="17" fillId="30" borderId="0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6" xfId="0" applyNumberFormat="1" applyFont="1" applyFill="1" applyBorder="0" applyAlignment="1">
      <x:alignment horizontal="center" vertical="center" wrapText="1"/>
    </x:xf>
    <x:xf numFmtId="0" fontId="5" fillId="24" borderId="0" xfId="0" applyNumberFormat="1" applyFont="1" applyFill="1" applyBorder="1" applyAlignment="1">
      <x:alignment vertical="top" wrapText="1"/>
    </x:xf>
    <x:xf numFmtId="0" fontId="5" fillId="24" borderId="0" xfId="0" applyNumberFormat="1" applyFont="1" applyFill="1" applyBorder="1" applyAlignment="1">
      <x:alignment horizontal="center" vertical="top" wrapText="1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5" fillId="24" xfId="0" applyNumberFormat="1" applyFont="1" applyFill="1" applyBorder="0" applyAlignment="1">
      <x:alignment vertical="top" wrapText="1"/>
    </x:xf>
    <x:xf numFmtId="0" fontId="5" fillId="24" xfId="0" applyNumberFormat="1" applyFont="1" applyFill="1" applyBorder="0" applyAlignment="1">
      <x:alignment horizontal="center" vertical="top" wrapText="1"/>
    </x:xf>
    <x:xf numFmtId="0" fontId="5" fillId="24" xfId="0" applyNumberFormat="1" applyFont="1" applyFill="1" applyBorder="0" applyAlignment="1">
      <x:alignment horizontal="center" vertical="center" wrapText="1"/>
    </x:xf>
    <x:xf numFmtId="0" fontId="10" fillId="35" borderId="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10" fillId="35" borderId="0" xfId="0" applyNumberFormat="1" applyFont="1" applyFill="1" applyBorder="1" applyAlignment="1">
      <x:alignment horizontal="center"/>
    </x:xf>
    <x:xf numFmtId="0" fontId="7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7" fillId="36" borderId="0" xfId="0" applyNumberFormat="1" applyFont="1" applyFill="1" applyBorder="1"/>
    <x:xf numFmtId="0" fontId="7" fillId="36" borderId="0" xfId="0" applyNumberFormat="1" applyFont="1" applyFill="1" applyBorder="1" applyAlignment="1">
      <x:alignment wrapText="1"/>
    </x:xf>
    <x:xf numFmtId="0" fontId="7" fillId="36" borderId="0" xfId="0" applyNumberFormat="1" applyFont="1" applyFill="1" applyBorder="1" applyAlignment="1">
      <x:alignment horizontal="center" wrapText="1"/>
    </x:xf>
    <x:xf numFmtId="0" fontId="7" fillId="36" borderId="153" xfId="0" applyNumberFormat="1" applyFont="1" applyFill="1" applyBorder="1" applyAlignment="1">
      <x:alignment horizontal="center" vertical="center" wrapText="1"/>
    </x:xf>
    <x:xf numFmtId="0" fontId="7" fillId="36" borderId="154" xfId="0" applyNumberFormat="1" applyFont="1" applyFill="1" applyBorder="1" applyAlignment="1">
      <x:alignment horizontal="center" vertical="center" wrapText="1"/>
    </x:xf>
    <x:xf numFmtId="0" fontId="7" fillId="36" borderId="155" xfId="0" applyNumberFormat="1" applyFont="1" applyFill="1" applyBorder="1" applyAlignment="1">
      <x:alignment horizontal="center" wrapText="1"/>
    </x:xf>
    <x:xf numFmtId="0" fontId="0" fillId="0" borderId="156" xfId="0" applyNumberFormat="1" applyFont="1" applyFill="1" applyBorder="1" applyAlignment="1">
      <x:alignment vertical="center" wrapText="1"/>
    </x:xf>
    <x:xf numFmtId="0" fontId="0" fillId="0" borderId="157" xfId="0" applyNumberFormat="1" applyFont="1" applyFill="1" applyBorder="1"/>
    <x:xf numFmtId="0" fontId="0" fillId="0" borderId="158" xfId="0" applyNumberFormat="1" applyFont="1" applyFill="1" applyBorder="1" applyAlignment="1">
      <x:alignment vertical="center" wrapText="1"/>
    </x:xf>
    <x:xf numFmtId="0" fontId="0" fillId="0" borderId="159" xfId="0" applyNumberFormat="1" applyFont="1" applyFill="1" applyBorder="1" applyAlignment="1">
      <x:alignment vertical="center" wrapText="1"/>
    </x:xf>
    <x:xf numFmtId="0" fontId="0" fillId="0" borderId="160" xfId="0" applyNumberFormat="1" applyFont="1" applyFill="1" applyBorder="1"/>
    <x:xf numFmtId="0" fontId="0" fillId="0" borderId="157" xfId="0" applyNumberFormat="1" applyFont="1" applyFill="1" applyBorder="1" applyAlignment="1">
      <x:alignment wrapText="1"/>
    </x:xf>
    <x:xf numFmtId="0" fontId="0" fillId="0" borderId="160" xfId="0" applyNumberFormat="1" applyFont="1" applyFill="1" applyBorder="1" applyAlignment="1">
      <x:alignment wrapText="1"/>
    </x:xf>
    <x:xf numFmtId="0" fontId="7" fillId="36" borderId="155" xfId="0" applyNumberFormat="1" applyFont="1" applyFill="1" applyBorder="1" applyAlignment="1">
      <x:alignment horizontal="center" vertical="center" wrapText="1"/>
    </x:xf>
    <x:xf numFmtId="0" fontId="0" fillId="0" borderId="157" xfId="0" applyNumberFormat="1" applyFont="1" applyFill="1" applyBorder="1" applyAlignment="1">
      <x:alignment vertical="center" wrapText="1"/>
    </x:xf>
    <x:xf numFmtId="0" fontId="0" fillId="0" borderId="160" xfId="0" applyNumberFormat="1" applyFont="1" applyFill="1" applyBorder="1" applyAlignment="1">
      <x:alignment vertical="center" wrapText="1"/>
    </x:xf>
    <x:xf numFmtId="0" fontId="5" fillId="0" borderId="153" xfId="0" applyNumberFormat="1" applyFont="1" applyFill="1" applyBorder="1" applyAlignment="1">
      <x:alignment vertical="center" wrapText="1"/>
    </x:xf>
    <x:xf numFmtId="0" fontId="5" fillId="0" borderId="154" xfId="0" applyNumberFormat="1" applyFont="1" applyFill="1" applyBorder="1" applyAlignment="1">
      <x:alignment vertical="center" wrapText="1"/>
    </x:xf>
    <x:xf numFmtId="0" fontId="5" fillId="0" borderId="155" xfId="0" applyNumberFormat="1" applyFont="1" applyFill="1" applyBorder="1" applyAlignment="1">
      <x:alignment vertical="center" wrapText="1"/>
    </x:xf>
    <x:xf numFmtId="0" fontId="5" fillId="0" borderId="156" xfId="0" applyNumberFormat="1" applyFont="1" applyFill="1" applyBorder="1" applyAlignment="1">
      <x:alignment vertical="center" wrapText="1"/>
    </x:xf>
    <x:xf numFmtId="0" fontId="5" fillId="0" borderId="157" xfId="0" applyNumberFormat="1" applyFont="1" applyFill="1" applyBorder="1" applyAlignment="1">
      <x:alignment vertical="center" wrapText="1"/>
    </x:xf>
    <x:xf numFmtId="0" fontId="5" fillId="0" borderId="158" xfId="0" applyNumberFormat="1" applyFont="1" applyFill="1" applyBorder="1" applyAlignment="1">
      <x:alignment vertical="center" wrapText="1"/>
    </x:xf>
    <x:xf numFmtId="0" fontId="5" fillId="0" borderId="159" xfId="0" applyNumberFormat="1" applyFont="1" applyFill="1" applyBorder="1" applyAlignment="1">
      <x:alignment vertical="center" wrapText="1"/>
    </x:xf>
    <x:xf numFmtId="0" fontId="5" fillId="0" borderId="160" xfId="0" applyNumberFormat="1" applyFont="1" applyFill="1" applyBorder="1" applyAlignment="1">
      <x:alignment vertical="center" wrapText="1"/>
    </x:xf>
    <x:xf numFmtId="0" fontId="5" fillId="0" borderId="131" xfId="0" applyNumberFormat="1" applyFont="1" applyFill="1" applyBorder="1" applyAlignment="1">
      <x:alignment vertical="center" wrapText="1"/>
    </x:xf>
    <x:xf numFmtId="0" fontId="5" fillId="0" borderId="132" xfId="0" applyNumberFormat="1" applyFont="1" applyFill="1" applyBorder="1" applyAlignment="1">
      <x:alignment vertical="center" wrapText="1"/>
    </x:xf>
    <x:xf numFmtId="0" fontId="5" fillId="0" borderId="133" xfId="0" applyNumberFormat="1" applyFont="1" applyFill="1" applyBorder="1" applyAlignment="1">
      <x:alignment vertical="center" wrapText="1"/>
    </x:xf>
    <x:xf numFmtId="0" fontId="5" fillId="0" borderId="134" xfId="0" applyNumberFormat="1" applyFont="1" applyFill="1" applyBorder="1" applyAlignment="1">
      <x:alignment vertical="center" wrapText="1"/>
    </x:xf>
    <x:xf numFmtId="0" fontId="5" fillId="0" borderId="135" xfId="0" applyNumberFormat="1" applyFont="1" applyFill="1" applyBorder="1" applyAlignment="1">
      <x:alignment vertical="center" wrapText="1"/>
    </x:xf>
    <x:xf numFmtId="0" fontId="5" fillId="0" borderId="136" xfId="0" applyNumberFormat="1" applyFont="1" applyFill="1" applyBorder="1" applyAlignment="1">
      <x:alignment vertical="center" wrapText="1"/>
    </x:xf>
    <x:xf numFmtId="0" fontId="5" fillId="0" borderId="137" xfId="0" applyNumberFormat="1" applyFont="1" applyFill="1" applyBorder="1" applyAlignment="1">
      <x:alignment vertical="center" wrapText="1"/>
    </x:xf>
    <x:xf numFmtId="0" fontId="5" fillId="0" borderId="138" xfId="0" applyNumberFormat="1" applyFont="1" applyFill="1" applyBorder="1" applyAlignment="1">
      <x:alignment vertical="center" wrapText="1"/>
    </x:xf>
    <x:xf numFmtId="0" fontId="5" fillId="0" borderId="153" xfId="0" applyNumberFormat="1" applyFont="1" applyFill="1" applyBorder="1"/>
    <x:xf numFmtId="0" fontId="5" fillId="0" borderId="154" xfId="0" applyNumberFormat="1" applyFont="1" applyFill="1" applyBorder="1"/>
    <x:xf numFmtId="0" fontId="5" fillId="0" borderId="155" xfId="0" applyNumberFormat="1" applyFont="1" applyFill="1" applyBorder="1"/>
    <x:xf numFmtId="0" fontId="5" fillId="0" borderId="156" xfId="0" applyNumberFormat="1" applyFont="1" applyFill="1" applyBorder="1"/>
    <x:xf numFmtId="0" fontId="5" fillId="0" borderId="157" xfId="0" applyNumberFormat="1" applyFont="1" applyFill="1" applyBorder="1"/>
    <x:xf numFmtId="0" fontId="5" fillId="0" borderId="158" xfId="0" applyNumberFormat="1" applyFont="1" applyFill="1" applyBorder="1"/>
    <x:xf numFmtId="0" fontId="5" fillId="0" borderId="159" xfId="0" applyNumberFormat="1" applyFont="1" applyFill="1" applyBorder="1"/>
    <x:xf numFmtId="0" fontId="5" fillId="0" borderId="160" xfId="0" applyNumberFormat="1" applyFont="1" applyFill="1" applyBorder="1"/>
    <x:xf numFmtId="0" fontId="5" fillId="0" borderId="153" xfId="0" applyNumberFormat="1" applyFont="1" applyFill="1" applyBorder="1" applyAlignment="1">
      <x:alignment wrapText="1"/>
    </x:xf>
    <x:xf numFmtId="0" fontId="5" fillId="0" borderId="154" xfId="0" applyNumberFormat="1" applyFont="1" applyFill="1" applyBorder="1" applyAlignment="1">
      <x:alignment wrapText="1"/>
    </x:xf>
    <x:xf numFmtId="0" fontId="5" fillId="0" borderId="155" xfId="0" applyNumberFormat="1" applyFont="1" applyFill="1" applyBorder="1" applyAlignment="1">
      <x:alignment wrapText="1"/>
    </x:xf>
    <x:xf numFmtId="0" fontId="5" fillId="0" borderId="156" xfId="0" applyNumberFormat="1" applyFont="1" applyFill="1" applyBorder="1" applyAlignment="1">
      <x:alignment wrapText="1"/>
    </x:xf>
    <x:xf numFmtId="0" fontId="5" fillId="0" borderId="157" xfId="0" applyNumberFormat="1" applyFont="1" applyFill="1" applyBorder="1" applyAlignment="1">
      <x:alignment wrapText="1"/>
    </x:xf>
    <x:xf numFmtId="0" fontId="5" fillId="0" borderId="158" xfId="0" applyNumberFormat="1" applyFont="1" applyFill="1" applyBorder="1" applyAlignment="1">
      <x:alignment wrapText="1"/>
    </x:xf>
    <x:xf numFmtId="0" fontId="5" fillId="0" borderId="159" xfId="0" applyNumberFormat="1" applyFont="1" applyFill="1" applyBorder="1" applyAlignment="1">
      <x:alignment wrapText="1"/>
    </x:xf>
    <x:xf numFmtId="0" fontId="5" fillId="0" borderId="160" xfId="0" applyNumberFormat="1" applyFont="1" applyFill="1" applyBorder="1" applyAlignment="1">
      <x:alignment wrapText="1"/>
    </x:xf>
    <x:xf numFmtId="0" fontId="5" fillId="0" borderId="153" xfId="0" applyNumberFormat="1" applyFont="1" applyFill="1" applyBorder="1" applyAlignment="1">
      <x:alignment vertical="top" wrapText="1"/>
    </x:xf>
    <x:xf numFmtId="0" fontId="5" fillId="0" borderId="154" xfId="0" applyNumberFormat="1" applyFont="1" applyFill="1" applyBorder="1" applyAlignment="1">
      <x:alignment vertical="top" wrapText="1"/>
    </x:xf>
    <x:xf numFmtId="0" fontId="5" fillId="0" borderId="155" xfId="0" applyNumberFormat="1" applyFont="1" applyFill="1" applyBorder="1" applyAlignment="1">
      <x:alignment vertical="top" wrapText="1"/>
    </x:xf>
    <x:xf numFmtId="0" fontId="5" fillId="0" borderId="156" xfId="0" applyNumberFormat="1" applyFont="1" applyFill="1" applyBorder="1" applyAlignment="1">
      <x:alignment vertical="top" wrapText="1"/>
    </x:xf>
    <x:xf numFmtId="0" fontId="5" fillId="0" borderId="157" xfId="0" applyNumberFormat="1" applyFont="1" applyFill="1" applyBorder="1" applyAlignment="1">
      <x:alignment vertical="top" wrapText="1"/>
    </x:xf>
    <x:xf numFmtId="0" fontId="5" fillId="0" borderId="158" xfId="0" applyNumberFormat="1" applyFont="1" applyFill="1" applyBorder="1" applyAlignment="1">
      <x:alignment vertical="top" wrapText="1"/>
    </x:xf>
    <x:xf numFmtId="0" fontId="5" fillId="0" borderId="159" xfId="0" applyNumberFormat="1" applyFont="1" applyFill="1" applyBorder="1" applyAlignment="1">
      <x:alignment vertical="top" wrapText="1"/>
    </x:xf>
    <x:xf numFmtId="0" fontId="5" fillId="0" borderId="16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horizontal="center" vertic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161" xfId="0" applyNumberFormat="1" applyFont="1" applyFill="1" applyBorder="1" applyAlignment="1">
      <x:alignment horizontal="center" vertical="center" wrapText="1"/>
    </x:xf>
    <x:xf numFmtId="0" fontId="4" fillId="37" borderId="162" xfId="0" applyNumberFormat="1" applyFont="1" applyFill="1" applyBorder="1" applyAlignment="1">
      <x:alignment horizontal="center" vertical="center" wrapText="1"/>
    </x:xf>
    <x:xf numFmtId="0" fontId="4" fillId="37" borderId="162" xfId="0" applyNumberFormat="1" applyFont="1" applyFill="1" applyBorder="1"/>
    <x:xf numFmtId="0" fontId="4" fillId="37" borderId="163" xfId="0" applyNumberFormat="1" applyFont="1" applyFill="1" applyBorder="1"/>
    <x:xf numFmtId="0" fontId="4" fillId="37" borderId="162" xfId="0" applyNumberFormat="1" applyFont="1" applyFill="1" applyBorder="1" applyAlignment="1">
      <x:alignment wrapText="1"/>
    </x:xf>
    <x:xf numFmtId="0" fontId="4" fillId="37" borderId="163" xfId="0" applyNumberFormat="1" applyFont="1" applyFill="1" applyBorder="1" applyAlignment="1">
      <x:alignment wrapText="1"/>
    </x:xf>
    <x:xf numFmtId="0" fontId="4" fillId="37" borderId="162" xfId="0" applyNumberFormat="1" applyFont="1" applyFill="1" applyBorder="1" applyAlignment="1">
      <x:alignment horizontal="center" wrapText="1"/>
    </x:xf>
    <x:xf numFmtId="0" fontId="4" fillId="37" borderId="163" xfId="0" applyNumberFormat="1" applyFont="1" applyFill="1" applyBorder="1" applyAlignment="1">
      <x:alignment horizontal="center" wrapText="1"/>
    </x:xf>
    <x:xf numFmtId="0" fontId="4" fillId="37" borderId="163" xfId="0" applyNumberFormat="1" applyFont="1" applyFill="1" applyBorder="1" applyAlignment="1">
      <x:alignment horizontal="center" vertical="center" wrapText="1"/>
    </x:xf>
    <x:xf numFmtId="0" fontId="5" fillId="0" borderId="164" xfId="0" applyNumberFormat="1" applyFont="1" applyFill="1" applyBorder="1" applyAlignment="1">
      <x:alignment horizontal="center" vertical="center" wrapText="1"/>
    </x:xf>
    <x:xf numFmtId="0" fontId="5" fillId="0" borderId="165" xfId="0" applyNumberFormat="1" applyFont="1" applyFill="1" applyBorder="1" applyAlignment="1">
      <x:alignment horizontal="center" vertical="center" wrapText="1"/>
    </x:xf>
    <x:xf numFmtId="0" fontId="5" fillId="0" borderId="165" xfId="0" applyNumberFormat="1" applyFont="1" applyFill="1" applyBorder="1" applyAlignment="1">
      <x:alignment vertical="top" wrapText="1"/>
    </x:xf>
    <x:xf numFmtId="0" fontId="15" fillId="20" borderId="165" xfId="0" applyNumberFormat="1" applyFont="1" applyFill="1" applyBorder="1" applyAlignment="1">
      <x:alignment vertical="top" wrapText="1"/>
    </x:xf>
    <x:xf numFmtId="0" fontId="17" fillId="30" borderId="165" xfId="0" applyNumberFormat="1" applyFont="1" applyFill="1" applyBorder="1" applyAlignment="1">
      <x:alignment horizontal="center" vertical="center" wrapText="1"/>
    </x:xf>
    <x:xf numFmtId="0" fontId="5" fillId="16" borderId="165" xfId="0" applyNumberFormat="1" applyFont="1" applyFill="1" applyBorder="1" applyAlignment="1">
      <x:alignment horizontal="center" vertical="center" wrapText="1"/>
    </x:xf>
    <x:xf numFmtId="0" fontId="5" fillId="17" borderId="165" xfId="0" applyNumberFormat="1" applyFont="1" applyFill="1" applyBorder="1" applyAlignment="1">
      <x:alignment horizontal="center" vertical="center" wrapText="1"/>
    </x:xf>
    <x:xf numFmtId="0" fontId="14" fillId="22" borderId="165" xfId="0" applyNumberFormat="1" applyFont="1" applyFill="1" applyBorder="1" applyAlignment="1">
      <x:alignment horizontal="center" vertical="top" wrapText="1"/>
    </x:xf>
    <x:xf numFmtId="0" fontId="5" fillId="22" borderId="165" xfId="0" applyNumberFormat="1" applyFont="1" applyFill="1" applyBorder="1" applyAlignment="1">
      <x:alignment horizontal="center" vertical="top" wrapText="1"/>
    </x:xf>
    <x:xf numFmtId="0" fontId="16" fillId="22" borderId="165" xfId="0" applyNumberFormat="1" applyFont="1" applyFill="1" applyBorder="1" applyAlignment="1">
      <x:alignment horizontal="center" vertical="top" wrapText="1"/>
    </x:xf>
    <x:xf numFmtId="0" fontId="5" fillId="24" borderId="165" xfId="0" applyNumberFormat="1" applyFont="1" applyFill="1" applyBorder="1" applyAlignment="1">
      <x:alignment vertical="top" wrapText="1"/>
    </x:xf>
    <x:xf numFmtId="0" fontId="5" fillId="24" borderId="165" xfId="0" applyNumberFormat="1" applyFont="1" applyFill="1" applyBorder="1" applyAlignment="1">
      <x:alignment horizontal="center" vertical="top" wrapText="1"/>
    </x:xf>
    <x:xf numFmtId="0" fontId="5" fillId="24" borderId="165" xfId="0" applyNumberFormat="1" applyFont="1" applyFill="1" applyBorder="1" applyAlignment="1">
      <x:alignment horizontal="center" vertical="center" wrapText="1"/>
    </x:xf>
    <x:xf numFmtId="0" fontId="5" fillId="0" borderId="165" xfId="0" applyNumberFormat="1" applyFont="1" applyFill="1" applyBorder="1"/>
    <x:xf numFmtId="0" fontId="5" fillId="0" borderId="166" xfId="0" applyNumberFormat="1" applyFont="1" applyFill="1" applyBorder="1"/>
    <x:xf numFmtId="0" fontId="5" fillId="0" borderId="167" xfId="0" applyNumberFormat="1" applyFont="1" applyFill="1" applyBorder="1" applyAlignment="1">
      <x:alignment horizontal="center" vertical="center" wrapText="1"/>
    </x:xf>
    <x:xf numFmtId="0" fontId="5" fillId="0" borderId="168" xfId="0" applyNumberFormat="1" applyFont="1" applyFill="1" applyBorder="1"/>
    <x:xf numFmtId="0" fontId="5" fillId="0" borderId="169" xfId="0" applyNumberFormat="1" applyFont="1" applyFill="1" applyBorder="1" applyAlignment="1">
      <x:alignment horizontal="center" vertical="center" wrapText="1"/>
    </x:xf>
    <x:xf numFmtId="0" fontId="5" fillId="0" borderId="170" xfId="0" applyNumberFormat="1" applyFont="1" applyFill="1" applyBorder="1" applyAlignment="1">
      <x:alignment horizontal="center" vertical="center" wrapText="1"/>
    </x:xf>
    <x:xf numFmtId="0" fontId="5" fillId="0" borderId="170" xfId="0" applyNumberFormat="1" applyFont="1" applyFill="1" applyBorder="1" applyAlignment="1">
      <x:alignment vertical="top" wrapText="1"/>
    </x:xf>
    <x:xf numFmtId="0" fontId="15" fillId="20" borderId="170" xfId="0" applyNumberFormat="1" applyFont="1" applyFill="1" applyBorder="1" applyAlignment="1">
      <x:alignment vertical="top" wrapText="1"/>
    </x:xf>
    <x:xf numFmtId="0" fontId="17" fillId="30" borderId="170" xfId="0" applyNumberFormat="1" applyFont="1" applyFill="1" applyBorder="1" applyAlignment="1">
      <x:alignment horizontal="center" vertical="center" wrapText="1"/>
    </x:xf>
    <x:xf numFmtId="0" fontId="5" fillId="16" borderId="170" xfId="0" applyNumberFormat="1" applyFont="1" applyFill="1" applyBorder="1" applyAlignment="1">
      <x:alignment horizontal="center" vertical="center" wrapText="1"/>
    </x:xf>
    <x:xf numFmtId="0" fontId="5" fillId="17" borderId="170" xfId="0" applyNumberFormat="1" applyFont="1" applyFill="1" applyBorder="1" applyAlignment="1">
      <x:alignment horizontal="center" vertical="center" wrapText="1"/>
    </x:xf>
    <x:xf numFmtId="0" fontId="14" fillId="22" borderId="170" xfId="0" applyNumberFormat="1" applyFont="1" applyFill="1" applyBorder="1" applyAlignment="1">
      <x:alignment horizontal="center" vertical="top" wrapText="1"/>
    </x:xf>
    <x:xf numFmtId="0" fontId="5" fillId="22" borderId="170" xfId="0" applyNumberFormat="1" applyFont="1" applyFill="1" applyBorder="1" applyAlignment="1">
      <x:alignment horizontal="center" vertical="top" wrapText="1"/>
    </x:xf>
    <x:xf numFmtId="0" fontId="16" fillId="22" borderId="170" xfId="0" applyNumberFormat="1" applyFont="1" applyFill="1" applyBorder="1" applyAlignment="1">
      <x:alignment horizontal="center" vertical="top" wrapText="1"/>
    </x:xf>
    <x:xf numFmtId="0" fontId="5" fillId="24" borderId="170" xfId="0" applyNumberFormat="1" applyFont="1" applyFill="1" applyBorder="1" applyAlignment="1">
      <x:alignment vertical="top" wrapText="1"/>
    </x:xf>
    <x:xf numFmtId="0" fontId="5" fillId="24" borderId="170" xfId="0" applyNumberFormat="1" applyFont="1" applyFill="1" applyBorder="1" applyAlignment="1">
      <x:alignment horizontal="center" vertical="top" wrapText="1"/>
    </x:xf>
    <x:xf numFmtId="0" fontId="5" fillId="24" borderId="170" xfId="0" applyNumberFormat="1" applyFont="1" applyFill="1" applyBorder="1" applyAlignment="1">
      <x:alignment horizontal="center" vertical="center" wrapText="1"/>
    </x:xf>
    <x:xf numFmtId="0" fontId="5" fillId="0" borderId="170" xfId="0" applyNumberFormat="1" applyFont="1" applyFill="1" applyBorder="1"/>
    <x:xf numFmtId="0" fontId="5" fillId="0" borderId="171" xfId="0" applyNumberFormat="1" applyFont="1" applyFill="1" applyBorder="1"/>
    <x:xf numFmtId="0" fontId="5" fillId="0" borderId="165" xfId="0" applyNumberFormat="1" applyFont="1" applyFill="1" applyBorder="1" applyAlignment="1">
      <x:alignment wrapText="1"/>
    </x:xf>
    <x:xf numFmtId="0" fontId="5" fillId="0" borderId="166" xfId="0" applyNumberFormat="1" applyFont="1" applyFill="1" applyBorder="1" applyAlignment="1">
      <x:alignment wrapText="1"/>
    </x:xf>
    <x:xf numFmtId="0" fontId="5" fillId="0" borderId="168" xfId="0" applyNumberFormat="1" applyFont="1" applyFill="1" applyBorder="1" applyAlignment="1">
      <x:alignment wrapText="1"/>
    </x:xf>
    <x:xf numFmtId="0" fontId="5" fillId="0" borderId="170" xfId="0" applyNumberFormat="1" applyFont="1" applyFill="1" applyBorder="1" applyAlignment="1">
      <x:alignment wrapText="1"/>
    </x:xf>
    <x:xf numFmtId="0" fontId="5" fillId="0" borderId="171" xfId="0" applyNumberFormat="1" applyFont="1" applyFill="1" applyBorder="1" applyAlignment="1">
      <x:alignment wrapText="1"/>
    </x:xf>
    <x:xf numFmtId="0" fontId="5" fillId="0" borderId="164" xfId="0" applyNumberFormat="1" applyFont="1" applyFill="1" applyBorder="1" applyAlignment="1">
      <x:alignment horizontal="center" vertical="top" wrapText="1"/>
    </x:xf>
    <x:xf numFmtId="0" fontId="5" fillId="0" borderId="165" xfId="0" applyNumberFormat="1" applyFont="1" applyFill="1" applyBorder="1" applyAlignment="1">
      <x:alignment horizontal="center" vertical="top" wrapText="1"/>
    </x:xf>
    <x:xf numFmtId="0" fontId="17" fillId="30" borderId="165" xfId="0" applyNumberFormat="1" applyFont="1" applyFill="1" applyBorder="1" applyAlignment="1">
      <x:alignment horizontal="center" vertical="top" wrapText="1"/>
    </x:xf>
    <x:xf numFmtId="0" fontId="5" fillId="16" borderId="165" xfId="0" applyNumberFormat="1" applyFont="1" applyFill="1" applyBorder="1" applyAlignment="1">
      <x:alignment horizontal="center" vertical="top" wrapText="1"/>
    </x:xf>
    <x:xf numFmtId="0" fontId="5" fillId="17" borderId="165" xfId="0" applyNumberFormat="1" applyFont="1" applyFill="1" applyBorder="1" applyAlignment="1">
      <x:alignment horizontal="center" vertical="top" wrapText="1"/>
    </x:xf>
    <x:xf numFmtId="0" fontId="5" fillId="0" borderId="166" xfId="0" applyNumberFormat="1" applyFont="1" applyFill="1" applyBorder="1" applyAlignment="1">
      <x:alignment vertical="top" wrapText="1"/>
    </x:xf>
    <x:xf numFmtId="0" fontId="5" fillId="0" borderId="167" xfId="0" applyNumberFormat="1" applyFont="1" applyFill="1" applyBorder="1" applyAlignment="1">
      <x:alignment horizontal="center" vertical="top" wrapText="1"/>
    </x:xf>
    <x:xf numFmtId="0" fontId="17" fillId="30" xfId="0" applyNumberFormat="1" applyFont="1" applyFill="1" applyBorder="0" applyAlignment="1">
      <x:alignment horizontal="center" vertical="top" wrapText="1"/>
    </x:xf>
    <x:xf numFmtId="0" fontId="5" fillId="16" xfId="0" applyNumberFormat="1" applyFont="1" applyFill="1" applyBorder="0" applyAlignment="1">
      <x:alignment horizontal="center" vertical="top" wrapText="1"/>
    </x:xf>
    <x:xf numFmtId="0" fontId="5" fillId="0" borderId="168" xfId="0" applyNumberFormat="1" applyFont="1" applyFill="1" applyBorder="1" applyAlignment="1">
      <x:alignment vertical="top" wrapText="1"/>
    </x:xf>
    <x:xf numFmtId="0" fontId="5" fillId="0" borderId="169" xfId="0" applyNumberFormat="1" applyFont="1" applyFill="1" applyBorder="1" applyAlignment="1">
      <x:alignment horizontal="center" vertical="top" wrapText="1"/>
    </x:xf>
    <x:xf numFmtId="0" fontId="5" fillId="0" borderId="170" xfId="0" applyNumberFormat="1" applyFont="1" applyFill="1" applyBorder="1" applyAlignment="1">
      <x:alignment horizontal="center" vertical="top" wrapText="1"/>
    </x:xf>
    <x:xf numFmtId="0" fontId="17" fillId="30" borderId="170" xfId="0" applyNumberFormat="1" applyFont="1" applyFill="1" applyBorder="1" applyAlignment="1">
      <x:alignment horizontal="center" vertical="top" wrapText="1"/>
    </x:xf>
    <x:xf numFmtId="0" fontId="5" fillId="16" borderId="170" xfId="0" applyNumberFormat="1" applyFont="1" applyFill="1" applyBorder="1" applyAlignment="1">
      <x:alignment horizontal="center" vertical="top" wrapText="1"/>
    </x:xf>
    <x:xf numFmtId="0" fontId="5" fillId="17" borderId="170" xfId="0" applyNumberFormat="1" applyFont="1" applyFill="1" applyBorder="1" applyAlignment="1">
      <x:alignment horizontal="center" vertical="top" wrapText="1"/>
    </x:xf>
    <x:xf numFmtId="0" fontId="5" fillId="0" borderId="171" xfId="0" applyNumberFormat="1" applyFont="1" applyFill="1" applyBorder="1" applyAlignment="1">
      <x:alignment vertical="top" wrapText="1"/>
    </x:xf>
    <x:xf numFmtId="0" fontId="14" fillId="22" borderId="165" xfId="0" applyNumberFormat="1" applyFont="1" applyFill="1" applyBorder="1" applyAlignment="1">
      <x:alignment horizontal="center" vertical="center" wrapText="1"/>
    </x:xf>
    <x:xf numFmtId="0" fontId="14" fillId="22" xfId="0" applyNumberFormat="1" applyFont="1" applyFill="1" applyBorder="0" applyAlignment="1">
      <x:alignment horizontal="center" vertical="center" wrapText="1"/>
    </x:xf>
    <x:xf numFmtId="0" fontId="14" fillId="22" borderId="170" xfId="0" applyNumberFormat="1" applyFont="1" applyFill="1" applyBorder="1" applyAlignment="1">
      <x:alignment horizontal="center" vertical="center" wrapText="1"/>
    </x:xf>
    <x:xf numFmtId="0" fontId="16" fillId="22" borderId="165" xfId="0" applyNumberFormat="1" applyFont="1" applyFill="1" applyBorder="1" applyAlignment="1">
      <x:alignment horizontal="center" vertical="center" wrapText="1"/>
    </x:xf>
    <x:xf numFmtId="0" fontId="16" fillId="22" xfId="0" applyNumberFormat="1" applyFont="1" applyFill="1" applyBorder="0" applyAlignment="1">
      <x:alignment horizontal="center" vertical="center" wrapText="1"/>
    </x:xf>
    <x:xf numFmtId="0" fontId="16" fillId="22" borderId="170" xfId="0" applyNumberFormat="1" applyFont="1" applyFill="1" applyBorder="1" applyAlignment="1">
      <x:alignment horizontal="center" vertical="center" wrapText="1"/>
    </x:xf>
    <x:xf numFmtId="0" fontId="15" fillId="38" borderId="165" xfId="0" applyNumberFormat="1" applyFont="1" applyFill="1" applyBorder="1" applyAlignment="1">
      <x:alignment vertical="top" wrapText="1"/>
    </x:xf>
    <x:xf numFmtId="0" fontId="15" fillId="38" xfId="0" applyNumberFormat="1" applyFont="1" applyFill="1" applyBorder="0" applyAlignment="1">
      <x:alignment vertical="top" wrapText="1"/>
    </x:xf>
    <x:xf numFmtId="0" fontId="15" fillId="38" borderId="170" xfId="0" applyNumberFormat="1" applyFont="1" applyFill="1" applyBorder="1" applyAlignment="1">
      <x:alignment vertical="top" wrapText="1"/>
    </x:xf>
    <x:xf numFmtId="0" fontId="14" fillId="38" borderId="165" xfId="0" applyNumberFormat="1" applyFont="1" applyFill="1" applyBorder="1" applyAlignment="1">
      <x:alignment vertical="top" wrapText="1"/>
    </x:xf>
    <x:xf numFmtId="0" fontId="14" fillId="38" xfId="0" applyNumberFormat="1" applyFont="1" applyFill="1" applyBorder="0" applyAlignment="1">
      <x:alignment vertical="top" wrapText="1"/>
    </x:xf>
    <x:xf numFmtId="0" fontId="14" fillId="38" borderId="170" xfId="0" applyNumberFormat="1" applyFont="1" applyFill="1" applyBorder="1" applyAlignment="1">
      <x:alignment vertical="top" wrapText="1"/>
    </x:xf>
    <x:xf numFmtId="0" fontId="17" fillId="39" borderId="165" xfId="0" applyNumberFormat="1" applyFont="1" applyFill="1" applyBorder="1" applyAlignment="1">
      <x:alignment horizontal="center" vertical="center" wrapText="1"/>
    </x:xf>
    <x:xf numFmtId="0" fontId="17" fillId="39" xfId="0" applyNumberFormat="1" applyFont="1" applyFill="1" applyBorder="0" applyAlignment="1">
      <x:alignment horizontal="center" vertical="center" wrapText="1"/>
    </x:xf>
    <x:xf numFmtId="0" fontId="17" fillId="39" borderId="170" xfId="0" applyNumberFormat="1" applyFont="1" applyFill="1" applyBorder="1" applyAlignment="1">
      <x:alignment horizontal="center" vertical="center" wrapText="1"/>
    </x:xf>
    <x:xf numFmtId="0" fontId="15" fillId="39" borderId="165" xfId="0" applyNumberFormat="1" applyFont="1" applyFill="1" applyBorder="1" applyAlignment="1">
      <x:alignment horizontal="center" vertical="center" wrapText="1"/>
    </x:xf>
    <x:xf numFmtId="0" fontId="15" fillId="39" xfId="0" applyNumberFormat="1" applyFont="1" applyFill="1" applyBorder="0" applyAlignment="1">
      <x:alignment horizontal="center" vertical="center" wrapText="1"/>
    </x:xf>
    <x:xf numFmtId="0" fontId="15" fillId="39" borderId="170" xfId="0" applyNumberFormat="1" applyFont="1" applyFill="1" applyBorder="1" applyAlignment="1">
      <x:alignment horizontal="center" vertical="center" wrapText="1"/>
    </x:xf>
    <x:xf numFmtId="0" fontId="5" fillId="40" borderId="165" xfId="0" applyNumberFormat="1" applyFont="1" applyFill="1" applyBorder="1" applyAlignment="1">
      <x:alignment horizontal="center" vertical="top" wrapText="1"/>
    </x:xf>
    <x:xf numFmtId="0" fontId="5" fillId="40" xfId="0" applyNumberFormat="1" applyFont="1" applyFill="1" applyBorder="0" applyAlignment="1">
      <x:alignment horizontal="center" vertical="top" wrapText="1"/>
    </x:xf>
    <x:xf numFmtId="0" fontId="5" fillId="40" borderId="170" xfId="0" applyNumberFormat="1" applyFont="1" applyFill="1" applyBorder="1" applyAlignment="1">
      <x:alignment horizontal="center" vertical="top" wrapText="1"/>
    </x:xf>
    <x:xf numFmtId="0" fontId="18" fillId="40" borderId="165" xfId="0" applyNumberFormat="1" applyFont="1" applyFill="1" applyBorder="1" applyAlignment="1">
      <x:alignment horizontal="center" vertical="top" wrapText="1"/>
    </x:xf>
    <x:xf numFmtId="0" fontId="18" fillId="40" xfId="0" applyNumberFormat="1" applyFont="1" applyFill="1" applyBorder="0" applyAlignment="1">
      <x:alignment horizontal="center" vertical="top" wrapText="1"/>
    </x:xf>
    <x:xf numFmtId="0" fontId="18" fillId="40" borderId="170" xfId="0" applyNumberFormat="1" applyFont="1" applyFill="1" applyBorder="1" applyAlignment="1">
      <x:alignment horizontal="center" vertical="top" wrapText="1"/>
    </x:xf>
    <x:xf numFmtId="0" fontId="5" fillId="41" borderId="165" xfId="0" applyNumberFormat="1" applyFont="1" applyFill="1" applyBorder="1" applyAlignment="1">
      <x:alignment horizontal="center" vertical="center" wrapText="1"/>
    </x:xf>
    <x:xf numFmtId="0" fontId="5" fillId="41" xfId="0" applyNumberFormat="1" applyFont="1" applyFill="1" applyBorder="0" applyAlignment="1">
      <x:alignment horizontal="center" vertical="center" wrapText="1"/>
    </x:xf>
    <x:xf numFmtId="0" fontId="5" fillId="41" borderId="170" xfId="0" applyNumberFormat="1" applyFont="1" applyFill="1" applyBorder="1" applyAlignment="1">
      <x:alignment horizontal="center" vertical="center" wrapText="1"/>
    </x:xf>
    <x:xf numFmtId="0" fontId="10" fillId="42" borderId="0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10" fillId="42" borderId="0" xfId="0" applyNumberFormat="1" applyFont="1" applyFill="1" applyBorder="1"/>
    <x:xf numFmtId="0" fontId="10" fillId="42" borderId="0" xfId="0" applyNumberFormat="1" applyFont="1" applyFill="1" applyBorder="1" applyAlignment="1">
      <x:alignment horizontal="center"/>
    </x:xf>
    <x:xf numFmtId="0" fontId="7" fillId="37" borderId="153" xfId="0" applyNumberFormat="1" applyFont="1" applyFill="1" applyBorder="1" applyAlignment="1">
      <x:alignment horizontal="center" vertical="center" wrapText="1"/>
    </x:xf>
    <x:xf numFmtId="0" fontId="7" fillId="37" borderId="154" xfId="0" applyNumberFormat="1" applyFont="1" applyFill="1" applyBorder="1" applyAlignment="1">
      <x:alignment horizontal="center" vertical="center" wrapText="1"/>
    </x:xf>
    <x:xf numFmtId="0" fontId="7" fillId="37" borderId="155" xfId="0" applyNumberFormat="1" applyFont="1" applyFill="1" applyBorder="1" applyAlignment="1">
      <x:alignment horizontal="center" vertical="center" wrapText="1"/>
    </x:xf>
    <x:xf numFmtId="0" fontId="7" fillId="37" borderId="0" xfId="0" applyNumberFormat="1" applyFont="1" applyFill="1" applyBorder="1"/>
    <x:xf numFmtId="0" fontId="7" fillId="37" borderId="0" xfId="0" applyNumberFormat="1" applyFont="1" applyFill="1" applyBorder="1" applyAlignment="1">
      <x:alignment wrapText="1"/>
    </x:xf>
    <x:xf numFmtId="0" fontId="7" fillId="37" borderId="0" xfId="0" applyNumberFormat="1" applyFont="1" applyFill="1" applyBorder="1" applyAlignment="1">
      <x:alignment horizontal="center" wrapText="1"/>
    </x:xf>
    <x:xf numFmtId="0" fontId="7" fillId="37" borderId="0" xfId="0" applyNumberFormat="1" applyFont="1" applyFill="1" applyBorder="1" applyAlignment="1">
      <x:alignment horizontal="center" vertical="center" wrapText="1"/>
    </x:xf>
    <x:xf numFmtId="0" fontId="7" fillId="37" borderId="172" xfId="0" applyNumberFormat="1" applyFont="1" applyFill="1" applyBorder="1" applyAlignment="1">
      <x:alignment horizontal="center" vertical="center" wrapText="1"/>
    </x:xf>
    <x:xf numFmtId="0" fontId="7" fillId="37" borderId="173" xfId="0" applyNumberFormat="1" applyFont="1" applyFill="1" applyBorder="1" applyAlignment="1">
      <x:alignment horizontal="center" vertical="center" wrapText="1"/>
    </x:xf>
    <x:xf numFmtId="0" fontId="7" fillId="37" borderId="174" xfId="0" applyNumberFormat="1" applyFont="1" applyFill="1" applyBorder="1" applyAlignment="1">
      <x:alignment horizontal="center" vertical="center" wrapText="1"/>
    </x:xf>
    <x:xf numFmtId="0" fontId="7" fillId="37" borderId="175" xfId="0" applyNumberFormat="1" applyFont="1" applyFill="1" applyBorder="1" applyAlignment="1">
      <x:alignment horizontal="center" wrapText="1"/>
    </x:xf>
    <x:xf numFmtId="0" fontId="0" fillId="0" borderId="176" xfId="0" applyNumberFormat="1" applyFont="1" applyFill="1" applyBorder="1" applyAlignment="1">
      <x:alignment vertical="center" wrapText="1"/>
    </x:xf>
    <x:xf numFmtId="0" fontId="0" fillId="0" borderId="177" xfId="0" applyNumberFormat="1" applyFont="1" applyFill="1" applyBorder="1"/>
    <x:xf numFmtId="0" fontId="0" fillId="0" borderId="178" xfId="0" applyNumberFormat="1" applyFont="1" applyFill="1" applyBorder="1" applyAlignment="1">
      <x:alignment vertical="center" wrapText="1"/>
    </x:xf>
    <x:xf numFmtId="0" fontId="0" fillId="0" borderId="179" xfId="0" applyNumberFormat="1" applyFont="1" applyFill="1" applyBorder="1" applyAlignment="1">
      <x:alignment vertical="center" wrapText="1"/>
    </x:xf>
    <x:xf numFmtId="0" fontId="0" fillId="0" borderId="180" xfId="0" applyNumberFormat="1" applyFont="1" applyFill="1" applyBorder="1" applyAlignment="1">
      <x:alignment vertical="center" wrapText="1"/>
    </x:xf>
    <x:xf numFmtId="0" fontId="0" fillId="0" borderId="181" xfId="0" applyNumberFormat="1" applyFont="1" applyFill="1" applyBorder="1"/>
    <x:xf numFmtId="0" fontId="0" fillId="0" borderId="177" xfId="0" applyNumberFormat="1" applyFont="1" applyFill="1" applyBorder="1" applyAlignment="1">
      <x:alignment wrapText="1"/>
    </x:xf>
    <x:xf numFmtId="0" fontId="0" fillId="0" borderId="181" xfId="0" applyNumberFormat="1" applyFont="1" applyFill="1" applyBorder="1" applyAlignment="1">
      <x:alignment wrapText="1"/>
    </x:xf>
    <x:xf numFmtId="0" fontId="7" fillId="37" borderId="175" xfId="0" applyNumberFormat="1" applyFont="1" applyFill="1" applyBorder="1" applyAlignment="1">
      <x:alignment horizontal="center" vertical="center" wrapText="1"/>
    </x:xf>
    <x:xf numFmtId="0" fontId="0" fillId="0" borderId="177" xfId="0" applyNumberFormat="1" applyFont="1" applyFill="1" applyBorder="1" applyAlignment="1">
      <x:alignment vertical="center" wrapText="1"/>
    </x:xf>
    <x:xf numFmtId="0" fontId="0" fillId="0" borderId="181" xfId="0" applyNumberFormat="1" applyFont="1" applyFill="1" applyBorder="1" applyAlignment="1">
      <x:alignment vertical="center" wrapText="1"/>
    </x:xf>
    <x:xf numFmtId="0" fontId="5" fillId="0" borderId="172" xfId="0" applyNumberFormat="1" applyFont="1" applyFill="1" applyBorder="1" applyAlignment="1">
      <x:alignment vertical="center" wrapText="1"/>
    </x:xf>
    <x:xf numFmtId="0" fontId="5" fillId="0" borderId="173" xfId="0" applyNumberFormat="1" applyFont="1" applyFill="1" applyBorder="1" applyAlignment="1">
      <x:alignment vertical="center" wrapText="1"/>
    </x:xf>
    <x:xf numFmtId="0" fontId="5" fillId="0" borderId="174" xfId="0" applyNumberFormat="1" applyFont="1" applyFill="1" applyBorder="1" applyAlignment="1">
      <x:alignment vertical="center" wrapText="1"/>
    </x:xf>
    <x:xf numFmtId="0" fontId="5" fillId="0" borderId="175" xfId="0" applyNumberFormat="1" applyFont="1" applyFill="1" applyBorder="1"/>
    <x:xf numFmtId="0" fontId="5" fillId="0" borderId="176" xfId="0" applyNumberFormat="1" applyFont="1" applyFill="1" applyBorder="1" applyAlignment="1">
      <x:alignment vertical="center" wrapText="1"/>
    </x:xf>
    <x:xf numFmtId="0" fontId="5" fillId="0" borderId="177" xfId="0" applyNumberFormat="1" applyFont="1" applyFill="1" applyBorder="1"/>
    <x:xf numFmtId="0" fontId="5" fillId="0" borderId="178" xfId="0" applyNumberFormat="1" applyFont="1" applyFill="1" applyBorder="1" applyAlignment="1">
      <x:alignment vertical="center" wrapText="1"/>
    </x:xf>
    <x:xf numFmtId="0" fontId="5" fillId="0" borderId="179" xfId="0" applyNumberFormat="1" applyFont="1" applyFill="1" applyBorder="1" applyAlignment="1">
      <x:alignment vertical="center" wrapText="1"/>
    </x:xf>
    <x:xf numFmtId="0" fontId="5" fillId="0" borderId="180" xfId="0" applyNumberFormat="1" applyFont="1" applyFill="1" applyBorder="1" applyAlignment="1">
      <x:alignment vertical="center" wrapText="1"/>
    </x:xf>
    <x:xf numFmtId="0" fontId="5" fillId="0" borderId="181" xfId="0" applyNumberFormat="1" applyFont="1" applyFill="1" applyBorder="1"/>
    <x:xf numFmtId="0" fontId="5" fillId="0" borderId="175" xfId="0" applyNumberFormat="1" applyFont="1" applyFill="1" applyBorder="1" applyAlignment="1">
      <x:alignment wrapText="1"/>
    </x:xf>
    <x:xf numFmtId="0" fontId="5" fillId="0" borderId="177" xfId="0" applyNumberFormat="1" applyFont="1" applyFill="1" applyBorder="1" applyAlignment="1">
      <x:alignment wrapText="1"/>
    </x:xf>
    <x:xf numFmtId="0" fontId="5" fillId="0" borderId="181" xfId="0" applyNumberFormat="1" applyFont="1" applyFill="1" applyBorder="1" applyAlignment="1">
      <x:alignment wrapText="1"/>
    </x:xf>
    <x:xf numFmtId="0" fontId="5" fillId="0" borderId="175" xfId="0" applyNumberFormat="1" applyFont="1" applyFill="1" applyBorder="1" applyAlignment="1">
      <x:alignment vertical="center" wrapText="1"/>
    </x:xf>
    <x:xf numFmtId="0" fontId="5" fillId="0" borderId="177" xfId="0" applyNumberFormat="1" applyFont="1" applyFill="1" applyBorder="1" applyAlignment="1">
      <x:alignment vertical="center" wrapText="1"/>
    </x:xf>
    <x:xf numFmtId="0" fontId="5" fillId="0" borderId="181" xfId="0" applyNumberFormat="1" applyFont="1" applyFill="1" applyBorder="1" applyAlignment="1">
      <x:alignment vertical="center" wrapText="1"/>
    </x:xf>
    <x:xf numFmtId="0" fontId="7" fillId="37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82" xfId="0" applyNumberFormat="1" applyFont="1" applyFill="1" applyBorder="1"/>
    <x:xf numFmtId="0" fontId="0" fillId="41" borderId="183" xfId="0" applyNumberFormat="1" applyFont="1" applyFill="1" applyBorder="1"/>
    <x:xf numFmtId="0" fontId="0" fillId="41" borderId="184" xfId="0" applyNumberFormat="1" applyFont="1" applyFill="1" applyBorder="1"/>
    <x:xf numFmtId="0" fontId="0" fillId="41" borderId="185" xfId="0" applyNumberFormat="1" applyFont="1" applyFill="1" applyBorder="1"/>
    <x:xf numFmtId="0" fontId="0" fillId="41" borderId="186" xfId="0" applyNumberFormat="1" applyFont="1" applyFill="1" applyBorder="1"/>
    <x:xf numFmtId="0" fontId="0" fillId="41" borderId="187" xfId="0" applyNumberFormat="1" applyFont="1" applyFill="1" applyBorder="1"/>
    <x:xf numFmtId="0" fontId="17" fillId="30" borderId="0" xfId="0" applyNumberFormat="1" applyFont="1" applyFill="1" applyBorder="1" applyAlignment="1">
      <x:alignment horizontal="center" vertical="top" wrapText="1"/>
    </x:xf>
    <x:xf numFmtId="0" fontId="5" fillId="16" borderId="0" xfId="0" applyNumberFormat="1" applyFont="1" applyFill="1" applyBorder="1" applyAlignment="1">
      <x:alignment horizontal="center" vertical="top" wrapText="1"/>
    </x:xf>
    <x:xf numFmtId="0" fontId="14" fillId="22" borderId="0" xfId="0" applyNumberFormat="1" applyFont="1" applyFill="1" applyBorder="1" applyAlignment="1">
      <x:alignment horizontal="center" vertical="center" wrapText="1"/>
    </x:xf>
    <x:xf numFmtId="0" fontId="16" fillId="22" borderId="0" xfId="0" applyNumberFormat="1" applyFont="1" applyFill="1" applyBorder="1" applyAlignment="1">
      <x:alignment horizontal="center" vertical="center" wrapText="1"/>
    </x:xf>
    <x:xf numFmtId="0" fontId="15" fillId="16" borderId="0" xfId="0" applyNumberFormat="1" applyFont="1" applyFill="1" applyBorder="1" applyAlignment="1">
      <x:alignment vertical="top" wrapText="1"/>
    </x:xf>
    <x:xf numFmtId="0" fontId="15" fillId="16" xfId="0" applyNumberFormat="1" applyFont="1" applyFill="1" applyBorder="0" applyAlignment="1">
      <x:alignment vertical="top" wrapText="1"/>
    </x:xf>
    <x:xf numFmtId="0" fontId="14" fillId="16" borderId="0" xfId="0" applyNumberFormat="1" applyFont="1" applyFill="1" applyBorder="1" applyAlignment="1">
      <x:alignment vertical="top" wrapText="1"/>
    </x:xf>
    <x:xf numFmtId="0" fontId="14" fillId="16" xfId="0" applyNumberFormat="1" applyFont="1" applyFill="1" applyBorder="0" applyAlignment="1">
      <x:alignment vertical="top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0" fontId="17" fillId="20" xfId="0" applyNumberFormat="1" applyFont="1" applyFill="1" applyBorder="0" applyAlignment="1">
      <x:alignment horizontal="center" vertical="center" wrapText="1"/>
    </x:xf>
    <x:xf numFmtId="0" fontId="15" fillId="20" borderId="0" xfId="0" applyNumberFormat="1" applyFont="1" applyFill="1" applyBorder="1" applyAlignment="1">
      <x:alignment horizontal="center" vertical="center" wrapText="1"/>
    </x:xf>
    <x:xf numFmtId="0" fontId="15" fillId="20" xfId="0" applyNumberFormat="1" applyFont="1" applyFill="1" applyBorder="0" applyAlignment="1">
      <x:alignment horizontal="center" vertical="center" wrapText="1"/>
    </x:xf>
    <x:xf numFmtId="0" fontId="18" fillId="21" borderId="0" xfId="0" applyNumberFormat="1" applyFont="1" applyFill="1" applyBorder="1" applyAlignment="1">
      <x:alignment horizontal="center" vertical="top" wrapText="1"/>
    </x:xf>
    <x:xf numFmtId="0" fontId="18" fillId="21" xfId="0" applyNumberFormat="1" applyFont="1" applyFill="1" applyBorder="0" applyAlignment="1">
      <x:alignment horizontal="center" vertical="top" wrapText="1"/>
    </x:xf>
    <x:xf numFmtId="0" fontId="4" fillId="43" borderId="161" xfId="0" applyNumberFormat="1" applyFont="1" applyFill="1" applyBorder="1" applyAlignment="1">
      <x:alignment horizontal="center" vertical="center" wrapText="1"/>
    </x:xf>
    <x:xf numFmtId="0" fontId="4" fillId="43" borderId="162" xfId="0" applyNumberFormat="1" applyFont="1" applyFill="1" applyBorder="1" applyAlignment="1">
      <x:alignment horizontal="center" vertical="center" wrapText="1"/>
    </x:xf>
    <x:xf numFmtId="0" fontId="4" fillId="43" borderId="163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188" xfId="0" applyNumberFormat="1" applyFont="1" applyFill="1" applyBorder="1" applyAlignment="1">
      <x:alignment horizontal="center" vertical="center" wrapText="1"/>
    </x:xf>
    <x:xf numFmtId="0" fontId="4" fillId="43" borderId="189" xfId="0" applyNumberFormat="1" applyFont="1" applyFill="1" applyBorder="1" applyAlignment="1">
      <x:alignment horizontal="center" vertical="center" wrapText="1"/>
    </x:xf>
    <x:xf numFmtId="0" fontId="4" fillId="43" borderId="190" xfId="0" applyNumberFormat="1" applyFont="1" applyFill="1" applyBorder="1" applyAlignment="1">
      <x:alignment horizontal="center" vertical="center" wrapText="1"/>
    </x:xf>
    <x:xf numFmtId="0" fontId="4" fillId="43" borderId="189" xfId="0" applyNumberFormat="1" applyFont="1" applyFill="1" applyBorder="1"/>
    <x:xf numFmtId="0" fontId="4" fillId="43" borderId="191" xfId="0" applyNumberFormat="1" applyFont="1" applyFill="1" applyBorder="1"/>
    <x:xf numFmtId="0" fontId="4" fillId="43" borderId="189" xfId="0" applyNumberFormat="1" applyFont="1" applyFill="1" applyBorder="1" applyAlignment="1">
      <x:alignment wrapText="1"/>
    </x:xf>
    <x:xf numFmtId="0" fontId="4" fillId="43" borderId="191" xfId="0" applyNumberFormat="1" applyFont="1" applyFill="1" applyBorder="1" applyAlignment="1">
      <x:alignment wrapText="1"/>
    </x:xf>
    <x:xf numFmtId="0" fontId="4" fillId="43" borderId="189" xfId="0" applyNumberFormat="1" applyFont="1" applyFill="1" applyBorder="1" applyAlignment="1">
      <x:alignment horizontal="center" wrapText="1"/>
    </x:xf>
    <x:xf numFmtId="0" fontId="4" fillId="43" borderId="191" xfId="0" applyNumberFormat="1" applyFont="1" applyFill="1" applyBorder="1" applyAlignment="1">
      <x:alignment horizontal="center" wrapText="1"/>
    </x:xf>
    <x:xf numFmtId="0" fontId="4" fillId="43" borderId="191" xfId="0" applyNumberFormat="1" applyFont="1" applyFill="1" applyBorder="1" applyAlignment="1">
      <x:alignment horizontal="center" vertical="center" wrapText="1"/>
    </x:xf>
    <x:xf numFmtId="0" fontId="4" fillId="43" borderId="0" xfId="0" applyNumberFormat="1" applyFont="1" applyFill="1" applyBorder="1" applyAlignment="1">
      <x:alignment horizontal="center" vertical="center" wrapText="1"/>
    </x:xf>
    <x:xf numFmtId="0" fontId="14" fillId="16" borderId="165" xfId="0" applyNumberFormat="1" applyFont="1" applyFill="1" applyBorder="1" applyAlignment="1">
      <x:alignment vertical="top" wrapText="1"/>
    </x:xf>
    <x:xf numFmtId="0" fontId="15" fillId="20" borderId="165" xfId="0" applyNumberFormat="1" applyFont="1" applyFill="1" applyBorder="1" applyAlignment="1">
      <x:alignment horizontal="center" vertical="center" wrapText="1"/>
    </x:xf>
    <x:xf numFmtId="0" fontId="18" fillId="21" borderId="165" xfId="0" applyNumberFormat="1" applyFont="1" applyFill="1" applyBorder="1" applyAlignment="1">
      <x:alignment horizontal="center" vertical="top" wrapText="1"/>
    </x:xf>
    <x:xf numFmtId="0" fontId="14" fillId="16" borderId="170" xfId="0" applyNumberFormat="1" applyFont="1" applyFill="1" applyBorder="1" applyAlignment="1">
      <x:alignment vertical="top" wrapText="1"/>
    </x:xf>
    <x:xf numFmtId="0" fontId="15" fillId="20" borderId="170" xfId="0" applyNumberFormat="1" applyFont="1" applyFill="1" applyBorder="1" applyAlignment="1">
      <x:alignment horizontal="center" vertical="center" wrapText="1"/>
    </x:xf>
    <x:xf numFmtId="0" fontId="18" fillId="21" borderId="170" xfId="0" applyNumberFormat="1" applyFont="1" applyFill="1" applyBorder="1" applyAlignment="1">
      <x:alignment horizontal="center" vertical="top" wrapText="1"/>
    </x:xf>
    <x:xf numFmtId="0" fontId="5" fillId="0" borderId="192" xfId="0" applyNumberFormat="1" applyFont="1" applyFill="1" applyBorder="1" applyAlignment="1">
      <x:alignment horizontal="center" vertical="center" wrapText="1"/>
    </x:xf>
    <x:xf numFmtId="0" fontId="5" fillId="0" borderId="193" xfId="0" applyNumberFormat="1" applyFont="1" applyFill="1" applyBorder="1" applyAlignment="1">
      <x:alignment horizontal="center" vertical="center" wrapText="1"/>
    </x:xf>
    <x:xf numFmtId="0" fontId="5" fillId="0" borderId="193" xfId="0" applyNumberFormat="1" applyFont="1" applyFill="1" applyBorder="1" applyAlignment="1">
      <x:alignment vertical="top" wrapText="1"/>
    </x:xf>
    <x:xf numFmtId="0" fontId="14" fillId="16" borderId="193" xfId="0" applyNumberFormat="1" applyFont="1" applyFill="1" applyBorder="1" applyAlignment="1">
      <x:alignment vertical="top" wrapText="1"/>
    </x:xf>
    <x:xf numFmtId="0" fontId="15" fillId="20" borderId="193" xfId="0" applyNumberFormat="1" applyFont="1" applyFill="1" applyBorder="1" applyAlignment="1">
      <x:alignment horizontal="center" vertical="center" wrapText="1"/>
    </x:xf>
    <x:xf numFmtId="0" fontId="18" fillId="21" borderId="193" xfId="0" applyNumberFormat="1" applyFont="1" applyFill="1" applyBorder="1" applyAlignment="1">
      <x:alignment horizontal="center" vertical="top" wrapText="1"/>
    </x:xf>
    <x:xf numFmtId="0" fontId="5" fillId="24" borderId="193" xfId="0" applyNumberFormat="1" applyFont="1" applyFill="1" applyBorder="1" applyAlignment="1">
      <x:alignment horizontal="center" vertical="center" wrapText="1"/>
    </x:xf>
    <x:xf numFmtId="0" fontId="14" fillId="22" borderId="193" xfId="0" applyNumberFormat="1" applyFont="1" applyFill="1" applyBorder="1" applyAlignment="1">
      <x:alignment horizontal="center" vertical="center" wrapText="1"/>
    </x:xf>
    <x:xf numFmtId="0" fontId="5" fillId="22" borderId="193" xfId="0" applyNumberFormat="1" applyFont="1" applyFill="1" applyBorder="1" applyAlignment="1">
      <x:alignment horizontal="center" vertical="top" wrapText="1"/>
    </x:xf>
    <x:xf numFmtId="0" fontId="16" fillId="22" borderId="193" xfId="0" applyNumberFormat="1" applyFont="1" applyFill="1" applyBorder="1" applyAlignment="1">
      <x:alignment horizontal="center" vertical="center" wrapText="1"/>
    </x:xf>
    <x:xf numFmtId="0" fontId="5" fillId="24" borderId="193" xfId="0" applyNumberFormat="1" applyFont="1" applyFill="1" applyBorder="1" applyAlignment="1">
      <x:alignment vertical="top" wrapText="1"/>
    </x:xf>
    <x:xf numFmtId="0" fontId="5" fillId="24" borderId="193" xfId="0" applyNumberFormat="1" applyFont="1" applyFill="1" applyBorder="1" applyAlignment="1">
      <x:alignment horizontal="center" vertical="top" wrapText="1"/>
    </x:xf>
    <x:xf numFmtId="0" fontId="5" fillId="0" borderId="193" xfId="0" applyNumberFormat="1" applyFont="1" applyFill="1" applyBorder="1" applyAlignment="1">
      <x:alignment horizontal="center" vertical="top" wrapText="1"/>
    </x:xf>
    <x:xf numFmtId="0" fontId="5" fillId="0" borderId="194" xfId="0" applyNumberFormat="1" applyFont="1" applyFill="1" applyBorder="1" applyAlignment="1">
      <x:alignment vertical="top" wrapText="1"/>
    </x:xf>
    <x:xf numFmtId="0" fontId="5" fillId="0" borderId="193" xfId="0" applyNumberFormat="1" applyFont="1" applyFill="1" applyBorder="1"/>
    <x:xf numFmtId="0" fontId="5" fillId="0" borderId="195" xfId="0" applyNumberFormat="1" applyFont="1" applyFill="1" applyBorder="1"/>
    <x:xf numFmtId="0" fontId="5" fillId="0" borderId="196" xfId="0" applyNumberFormat="1" applyFont="1" applyFill="1" applyBorder="1" applyAlignment="1">
      <x:alignment horizontal="center" vertical="center" wrapText="1"/>
    </x:xf>
    <x:xf numFmtId="0" fontId="5" fillId="0" borderId="197" xfId="0" applyNumberFormat="1" applyFont="1" applyFill="1" applyBorder="1"/>
    <x:xf numFmtId="0" fontId="5" fillId="0" borderId="198" xfId="0" applyNumberFormat="1" applyFont="1" applyFill="1" applyBorder="1" applyAlignment="1">
      <x:alignment horizontal="center" vertical="center" wrapText="1"/>
    </x:xf>
    <x:xf numFmtId="0" fontId="5" fillId="0" borderId="199" xfId="0" applyNumberFormat="1" applyFont="1" applyFill="1" applyBorder="1" applyAlignment="1">
      <x:alignment horizontal="center" vertical="center" wrapText="1"/>
    </x:xf>
    <x:xf numFmtId="0" fontId="5" fillId="0" borderId="199" xfId="0" applyNumberFormat="1" applyFont="1" applyFill="1" applyBorder="1" applyAlignment="1">
      <x:alignment vertical="top" wrapText="1"/>
    </x:xf>
    <x:xf numFmtId="0" fontId="14" fillId="16" borderId="199" xfId="0" applyNumberFormat="1" applyFont="1" applyFill="1" applyBorder="1" applyAlignment="1">
      <x:alignment vertical="top" wrapText="1"/>
    </x:xf>
    <x:xf numFmtId="0" fontId="15" fillId="20" borderId="199" xfId="0" applyNumberFormat="1" applyFont="1" applyFill="1" applyBorder="1" applyAlignment="1">
      <x:alignment horizontal="center" vertical="center" wrapText="1"/>
    </x:xf>
    <x:xf numFmtId="0" fontId="18" fillId="21" borderId="199" xfId="0" applyNumberFormat="1" applyFont="1" applyFill="1" applyBorder="1" applyAlignment="1">
      <x:alignment horizontal="center" vertical="top" wrapText="1"/>
    </x:xf>
    <x:xf numFmtId="0" fontId="5" fillId="24" borderId="199" xfId="0" applyNumberFormat="1" applyFont="1" applyFill="1" applyBorder="1" applyAlignment="1">
      <x:alignment horizontal="center" vertical="center" wrapText="1"/>
    </x:xf>
    <x:xf numFmtId="0" fontId="14" fillId="22" borderId="199" xfId="0" applyNumberFormat="1" applyFont="1" applyFill="1" applyBorder="1" applyAlignment="1">
      <x:alignment horizontal="center" vertical="center" wrapText="1"/>
    </x:xf>
    <x:xf numFmtId="0" fontId="5" fillId="22" borderId="199" xfId="0" applyNumberFormat="1" applyFont="1" applyFill="1" applyBorder="1" applyAlignment="1">
      <x:alignment horizontal="center" vertical="top" wrapText="1"/>
    </x:xf>
    <x:xf numFmtId="0" fontId="16" fillId="22" borderId="199" xfId="0" applyNumberFormat="1" applyFont="1" applyFill="1" applyBorder="1" applyAlignment="1">
      <x:alignment horizontal="center" vertical="center" wrapText="1"/>
    </x:xf>
    <x:xf numFmtId="0" fontId="5" fillId="24" borderId="199" xfId="0" applyNumberFormat="1" applyFont="1" applyFill="1" applyBorder="1" applyAlignment="1">
      <x:alignment vertical="top" wrapText="1"/>
    </x:xf>
    <x:xf numFmtId="0" fontId="5" fillId="24" borderId="199" xfId="0" applyNumberFormat="1" applyFont="1" applyFill="1" applyBorder="1" applyAlignment="1">
      <x:alignment horizontal="center" vertical="top" wrapText="1"/>
    </x:xf>
    <x:xf numFmtId="0" fontId="5" fillId="0" borderId="199" xfId="0" applyNumberFormat="1" applyFont="1" applyFill="1" applyBorder="1" applyAlignment="1">
      <x:alignment horizontal="center" vertical="top" wrapText="1"/>
    </x:xf>
    <x:xf numFmtId="0" fontId="5" fillId="0" borderId="200" xfId="0" applyNumberFormat="1" applyFont="1" applyFill="1" applyBorder="1" applyAlignment="1">
      <x:alignment vertical="top" wrapText="1"/>
    </x:xf>
    <x:xf numFmtId="0" fontId="5" fillId="0" borderId="199" xfId="0" applyNumberFormat="1" applyFont="1" applyFill="1" applyBorder="1"/>
    <x:xf numFmtId="0" fontId="5" fillId="0" borderId="201" xfId="0" applyNumberFormat="1" applyFont="1" applyFill="1" applyBorder="1"/>
    <x:xf numFmtId="0" fontId="5" fillId="0" borderId="193" xfId="0" applyNumberFormat="1" applyFont="1" applyFill="1" applyBorder="1" applyAlignment="1">
      <x:alignment wrapText="1"/>
    </x:xf>
    <x:xf numFmtId="0" fontId="5" fillId="0" borderId="195" xfId="0" applyNumberFormat="1" applyFont="1" applyFill="1" applyBorder="1" applyAlignment="1">
      <x:alignment wrapText="1"/>
    </x:xf>
    <x:xf numFmtId="0" fontId="5" fillId="0" borderId="197" xfId="0" applyNumberFormat="1" applyFont="1" applyFill="1" applyBorder="1" applyAlignment="1">
      <x:alignment wrapText="1"/>
    </x:xf>
    <x:xf numFmtId="0" fontId="5" fillId="0" borderId="199" xfId="0" applyNumberFormat="1" applyFont="1" applyFill="1" applyBorder="1" applyAlignment="1">
      <x:alignment wrapText="1"/>
    </x:xf>
    <x:xf numFmtId="0" fontId="5" fillId="0" borderId="201" xfId="0" applyNumberFormat="1" applyFont="1" applyFill="1" applyBorder="1" applyAlignment="1">
      <x:alignment wrapText="1"/>
    </x:xf>
    <x:xf numFmtId="0" fontId="5" fillId="0" borderId="192" xfId="0" applyNumberFormat="1" applyFont="1" applyFill="1" applyBorder="1" applyAlignment="1">
      <x:alignment horizontal="center" vertical="top" wrapText="1"/>
    </x:xf>
    <x:xf numFmtId="0" fontId="15" fillId="20" borderId="193" xfId="0" applyNumberFormat="1" applyFont="1" applyFill="1" applyBorder="1" applyAlignment="1">
      <x:alignment horizontal="center" vertical="top" wrapText="1"/>
    </x:xf>
    <x:xf numFmtId="0" fontId="14" fillId="22" borderId="193" xfId="0" applyNumberFormat="1" applyFont="1" applyFill="1" applyBorder="1" applyAlignment="1">
      <x:alignment horizontal="center" vertical="top" wrapText="1"/>
    </x:xf>
    <x:xf numFmtId="0" fontId="16" fillId="22" borderId="193" xfId="0" applyNumberFormat="1" applyFont="1" applyFill="1" applyBorder="1" applyAlignment="1">
      <x:alignment horizontal="center" vertical="top" wrapText="1"/>
    </x:xf>
    <x:xf numFmtId="0" fontId="5" fillId="0" borderId="195" xfId="0" applyNumberFormat="1" applyFont="1" applyFill="1" applyBorder="1" applyAlignment="1">
      <x:alignment vertical="top" wrapText="1"/>
    </x:xf>
    <x:xf numFmtId="0" fontId="5" fillId="0" borderId="196" xfId="0" applyNumberFormat="1" applyFont="1" applyFill="1" applyBorder="1" applyAlignment="1">
      <x:alignment horizontal="center" vertical="top" wrapText="1"/>
    </x:xf>
    <x:xf numFmtId="0" fontId="15" fillId="20" xfId="0" applyNumberFormat="1" applyFont="1" applyFill="1" applyBorder="0" applyAlignment="1">
      <x:alignment horizontal="center" vertical="top" wrapText="1"/>
    </x:xf>
    <x:xf numFmtId="0" fontId="5" fillId="0" borderId="197" xfId="0" applyNumberFormat="1" applyFont="1" applyFill="1" applyBorder="1" applyAlignment="1">
      <x:alignment vertical="top" wrapText="1"/>
    </x:xf>
    <x:xf numFmtId="0" fontId="5" fillId="0" borderId="198" xfId="0" applyNumberFormat="1" applyFont="1" applyFill="1" applyBorder="1" applyAlignment="1">
      <x:alignment horizontal="center" vertical="top" wrapText="1"/>
    </x:xf>
    <x:xf numFmtId="0" fontId="15" fillId="20" borderId="199" xfId="0" applyNumberFormat="1" applyFont="1" applyFill="1" applyBorder="1" applyAlignment="1">
      <x:alignment horizontal="center" vertical="top" wrapText="1"/>
    </x:xf>
    <x:xf numFmtId="0" fontId="14" fillId="22" borderId="199" xfId="0" applyNumberFormat="1" applyFont="1" applyFill="1" applyBorder="1" applyAlignment="1">
      <x:alignment horizontal="center" vertical="top" wrapText="1"/>
    </x:xf>
    <x:xf numFmtId="0" fontId="16" fillId="22" borderId="199" xfId="0" applyNumberFormat="1" applyFont="1" applyFill="1" applyBorder="1" applyAlignment="1">
      <x:alignment horizontal="center" vertical="top" wrapText="1"/>
    </x:xf>
    <x:xf numFmtId="0" fontId="5" fillId="0" borderId="201" xfId="0" applyNumberFormat="1" applyFont="1" applyFill="1" applyBorder="1" applyAlignment="1">
      <x:alignment vertical="top" wrapText="1"/>
    </x:xf>
    <x:xf numFmtId="0" fontId="14" fillId="44" borderId="193" xfId="0" applyNumberFormat="1" applyFont="1" applyFill="1" applyBorder="1" applyAlignment="1">
      <x:alignment vertical="top" wrapText="1"/>
    </x:xf>
    <x:xf numFmtId="0" fontId="14" fillId="44" xfId="0" applyNumberFormat="1" applyFont="1" applyFill="1" applyBorder="0" applyAlignment="1">
      <x:alignment vertical="top" wrapText="1"/>
    </x:xf>
    <x:xf numFmtId="0" fontId="14" fillId="44" borderId="199" xfId="0" applyNumberFormat="1" applyFont="1" applyFill="1" applyBorder="1" applyAlignment="1">
      <x:alignment vertical="top" wrapText="1"/>
    </x:xf>
    <x:xf numFmtId="0" fontId="15" fillId="45" borderId="193" xfId="0" applyNumberFormat="1" applyFont="1" applyFill="1" applyBorder="1" applyAlignment="1">
      <x:alignment horizontal="center" vertical="center" wrapText="1"/>
    </x:xf>
    <x:xf numFmtId="0" fontId="15" fillId="45" xfId="0" applyNumberFormat="1" applyFont="1" applyFill="1" applyBorder="0" applyAlignment="1">
      <x:alignment horizontal="center" vertical="center" wrapText="1"/>
    </x:xf>
    <x:xf numFmtId="0" fontId="15" fillId="45" borderId="199" xfId="0" applyNumberFormat="1" applyFont="1" applyFill="1" applyBorder="1" applyAlignment="1">
      <x:alignment horizontal="center" vertical="center" wrapText="1"/>
    </x:xf>
    <x:xf numFmtId="0" fontId="18" fillId="46" borderId="193" xfId="0" applyNumberFormat="1" applyFont="1" applyFill="1" applyBorder="1" applyAlignment="1">
      <x:alignment horizontal="center" vertical="top" wrapText="1"/>
    </x:xf>
    <x:xf numFmtId="0" fontId="18" fillId="46" xfId="0" applyNumberFormat="1" applyFont="1" applyFill="1" applyBorder="0" applyAlignment="1">
      <x:alignment horizontal="center" vertical="top" wrapText="1"/>
    </x:xf>
    <x:xf numFmtId="0" fontId="18" fillId="46" borderId="199" xfId="0" applyNumberFormat="1" applyFont="1" applyFill="1" applyBorder="1" applyAlignment="1">
      <x:alignment horizontal="center" vertical="top" wrapText="1"/>
    </x:xf>
    <x:xf numFmtId="0" fontId="16" fillId="47" borderId="193" xfId="0" applyNumberFormat="1" applyFont="1" applyFill="1" applyBorder="1" applyAlignment="1">
      <x:alignment horizontal="center" vertical="center" wrapText="1"/>
    </x:xf>
    <x:xf numFmtId="0" fontId="5" fillId="47" borderId="193" xfId="0" applyNumberFormat="1" applyFont="1" applyFill="1" applyBorder="1" applyAlignment="1">
      <x:alignment vertical="top" wrapText="1"/>
    </x:xf>
    <x:xf numFmtId="0" fontId="16" fillId="47" xfId="0" applyNumberFormat="1" applyFont="1" applyFill="1" applyBorder="0" applyAlignment="1">
      <x:alignment horizontal="center" vertical="center" wrapText="1"/>
    </x:xf>
    <x:xf numFmtId="0" fontId="5" fillId="47" xfId="0" applyNumberFormat="1" applyFont="1" applyFill="1" applyBorder="0" applyAlignment="1">
      <x:alignment vertical="top" wrapText="1"/>
    </x:xf>
    <x:xf numFmtId="0" fontId="16" fillId="47" borderId="199" xfId="0" applyNumberFormat="1" applyFont="1" applyFill="1" applyBorder="1" applyAlignment="1">
      <x:alignment horizontal="center" vertical="center" wrapText="1"/>
    </x:xf>
    <x:xf numFmtId="0" fontId="5" fillId="47" borderId="199" xfId="0" applyNumberFormat="1" applyFont="1" applyFill="1" applyBorder="1" applyAlignment="1">
      <x:alignment vertical="top" wrapText="1"/>
    </x:xf>
    <x:xf numFmtId="0" fontId="19" fillId="47" borderId="193" xfId="0" applyNumberFormat="1" applyFont="1" applyFill="1" applyBorder="1" applyAlignment="1">
      <x:alignment horizontal="center" vertical="center" wrapText="1"/>
    </x:xf>
    <x:xf numFmtId="0" fontId="19" fillId="47" xfId="0" applyNumberFormat="1" applyFont="1" applyFill="1" applyBorder="0" applyAlignment="1">
      <x:alignment horizontal="center" vertical="center" wrapText="1"/>
    </x:xf>
    <x:xf numFmtId="0" fontId="19" fillId="47" borderId="199" xfId="0" applyNumberFormat="1" applyFont="1" applyFill="1" applyBorder="1" applyAlignment="1">
      <x:alignment horizontal="center" vertical="center" wrapText="1"/>
    </x:xf>
    <x:xf numFmtId="0" fontId="10" fillId="48" borderId="0" xfId="0" applyNumberFormat="1" applyFont="1" applyFill="1" applyBorder="1" applyAlignment="1">
      <x:alignment horizontal="center" vertical="center"/>
    </x:xf>
    <x:xf numFmtId="0" fontId="10" fillId="48" borderId="0" xfId="0" applyNumberFormat="1" applyFont="1" applyFill="1" applyBorder="1" applyAlignment="1">
      <x:alignment horizontal="center"/>
    </x:xf>
    <x:xf numFmtId="0" fontId="0" fillId="48" borderId="0" xfId="0" applyNumberFormat="1" applyFont="1" applyFill="1" applyBorder="1"/>
    <x:xf numFmtId="0" fontId="10" fillId="48" borderId="0" xfId="0" applyNumberFormat="1" applyFont="1" applyFill="1" applyBorder="1"/>
    <x:xf numFmtId="0" fontId="7" fillId="43" borderId="0" xfId="0" applyNumberFormat="1" applyFont="1" applyFill="1" applyBorder="1" applyAlignment="1">
      <x:alignment horizontal="center" wrapText="1"/>
    </x:xf>
    <x:xf numFmtId="0" fontId="7" fillId="43" borderId="0" xfId="0" applyNumberFormat="1" applyFont="1" applyFill="1" applyBorder="1"/>
    <x:xf numFmtId="0" fontId="7" fillId="43" borderId="0" xfId="0" applyNumberFormat="1" applyFont="1" applyFill="1" applyBorder="1" applyAlignment="1">
      <x:alignment wrapText="1"/>
    </x:xf>
    <x:xf numFmtId="0" fontId="5" fillId="0" borderId="164" xfId="0" applyNumberFormat="1" applyFont="1" applyFill="1" applyBorder="1" applyAlignment="1">
      <x:alignment vertical="center" wrapText="1"/>
    </x:xf>
    <x:xf numFmtId="0" fontId="5" fillId="0" borderId="165" xfId="0" applyNumberFormat="1" applyFont="1" applyFill="1" applyBorder="1" applyAlignment="1">
      <x:alignment vertical="center" wrapText="1"/>
    </x:xf>
    <x:xf numFmtId="0" fontId="5" fillId="0" borderId="166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/>
    <x:xf numFmtId="0" fontId="5" fillId="0" borderId="167" xfId="0" applyNumberFormat="1" applyFont="1" applyFill="1" applyBorder="1" applyAlignment="1">
      <x:alignment vertical="center" wrapText="1"/>
    </x:xf>
    <x:xf numFmtId="0" fontId="5" fillId="0" borderId="168" xfId="0" applyNumberFormat="1" applyFont="1" applyFill="1" applyBorder="1" applyAlignment="1">
      <x:alignment vertical="center" wrapText="1"/>
    </x:xf>
    <x:xf numFmtId="0" fontId="20" fillId="24" borderId="0" xfId="0" applyNumberFormat="1" applyFont="1" applyFill="1" applyBorder="1"/>
    <x:xf numFmtId="0" fontId="5" fillId="0" borderId="169" xfId="0" applyNumberFormat="1" applyFont="1" applyFill="1" applyBorder="1" applyAlignment="1">
      <x:alignment vertical="center" wrapText="1"/>
    </x:xf>
    <x:xf numFmtId="0" fontId="5" fillId="0" borderId="170" xfId="0" applyNumberFormat="1" applyFont="1" applyFill="1" applyBorder="1" applyAlignment="1">
      <x:alignment vertical="center" wrapText="1"/>
    </x:xf>
    <x:xf numFmtId="0" fontId="5" fillId="0" borderId="171" xfId="0" applyNumberFormat="1" applyFont="1" applyFill="1" applyBorder="1" applyAlignment="1">
      <x:alignment vertical="center" wrapText="1"/>
    </x:xf>
    <x:xf numFmtId="0" fontId="5" fillId="0" borderId="202" xfId="0" applyNumberFormat="1" applyFont="1" applyFill="1" applyBorder="1" applyAlignment="1">
      <x:alignment vertical="center" wrapText="1"/>
    </x:xf>
    <x:xf numFmtId="0" fontId="5" fillId="0" borderId="203" xfId="0" applyNumberFormat="1" applyFont="1" applyFill="1" applyBorder="1" applyAlignment="1">
      <x:alignment vertical="center" wrapText="1"/>
    </x:xf>
    <x:xf numFmtId="0" fontId="5" fillId="0" borderId="204" xfId="0" applyNumberFormat="1" applyFont="1" applyFill="1" applyBorder="1" applyAlignment="1">
      <x:alignment vertical="center" wrapText="1"/>
    </x:xf>
    <x:xf numFmtId="0" fontId="5" fillId="24" borderId="205" xfId="0" applyNumberFormat="1" applyFont="1" applyFill="1" applyBorder="1"/>
    <x:xf numFmtId="0" fontId="5" fillId="0" borderId="206" xfId="0" applyNumberFormat="1" applyFont="1" applyFill="1" applyBorder="1" applyAlignment="1">
      <x:alignment vertical="center" wrapText="1"/>
    </x:xf>
    <x:xf numFmtId="0" fontId="5" fillId="24" borderId="207" xfId="0" applyNumberFormat="1" applyFont="1" applyFill="1" applyBorder="1"/>
    <x:xf numFmtId="0" fontId="20" fillId="24" borderId="207" xfId="0" applyNumberFormat="1" applyFont="1" applyFill="1" applyBorder="1"/>
    <x:xf numFmtId="0" fontId="5" fillId="0" borderId="207" xfId="0" applyNumberFormat="1" applyFont="1" applyFill="1" applyBorder="1"/>
    <x:xf numFmtId="0" fontId="5" fillId="0" borderId="208" xfId="0" applyNumberFormat="1" applyFont="1" applyFill="1" applyBorder="1" applyAlignment="1">
      <x:alignment vertical="center" wrapText="1"/>
    </x:xf>
    <x:xf numFmtId="0" fontId="5" fillId="0" borderId="209" xfId="0" applyNumberFormat="1" applyFont="1" applyFill="1" applyBorder="1" applyAlignment="1">
      <x:alignment vertical="center" wrapText="1"/>
    </x:xf>
    <x:xf numFmtId="0" fontId="5" fillId="0" borderId="210" xfId="0" applyNumberFormat="1" applyFont="1" applyFill="1" applyBorder="1" applyAlignment="1">
      <x:alignment vertical="center" wrapText="1"/>
    </x:xf>
    <x:xf numFmtId="0" fontId="5" fillId="0" borderId="211" xfId="0" applyNumberFormat="1" applyFont="1" applyFill="1" applyBorder="1"/>
    <x:xf numFmtId="0" fontId="5" fillId="24" borderId="205" xfId="0" applyNumberFormat="1" applyFont="1" applyFill="1" applyBorder="1" applyAlignment="1">
      <x:alignment wrapText="1"/>
    </x:xf>
    <x:xf numFmtId="0" fontId="5" fillId="24" borderId="207" xfId="0" applyNumberFormat="1" applyFont="1" applyFill="1" applyBorder="1" applyAlignment="1">
      <x:alignment wrapText="1"/>
    </x:xf>
    <x:xf numFmtId="0" fontId="20" fillId="24" borderId="207" xfId="0" applyNumberFormat="1" applyFont="1" applyFill="1" applyBorder="1" applyAlignment="1">
      <x:alignment wrapText="1"/>
    </x:xf>
    <x:xf numFmtId="0" fontId="5" fillId="0" borderId="207" xfId="0" applyNumberFormat="1" applyFont="1" applyFill="1" applyBorder="1" applyAlignment="1">
      <x:alignment wrapText="1"/>
    </x:xf>
    <x:xf numFmtId="0" fontId="5" fillId="0" borderId="211" xfId="0" applyNumberFormat="1" applyFont="1" applyFill="1" applyBorder="1" applyAlignment="1">
      <x:alignment wrapText="1"/>
    </x:xf>
    <x:xf numFmtId="0" fontId="5" fillId="24" borderId="205" xfId="0" applyNumberFormat="1" applyFont="1" applyFill="1" applyBorder="1" applyAlignment="1">
      <x:alignment vertical="center" wrapText="1"/>
    </x:xf>
    <x:xf numFmtId="0" fontId="5" fillId="24" borderId="207" xfId="0" applyNumberFormat="1" applyFont="1" applyFill="1" applyBorder="1" applyAlignment="1">
      <x:alignment vertical="center" wrapText="1"/>
    </x:xf>
    <x:xf numFmtId="0" fontId="20" fillId="24" borderId="207" xfId="0" applyNumberFormat="1" applyFont="1" applyFill="1" applyBorder="1" applyAlignment="1">
      <x:alignment vertical="center" wrapText="1"/>
    </x:xf>
    <x:xf numFmtId="0" fontId="5" fillId="0" borderId="207" xfId="0" applyNumberFormat="1" applyFont="1" applyFill="1" applyBorder="1" applyAlignment="1">
      <x:alignment vertical="center" wrapText="1"/>
    </x:xf>
    <x:xf numFmtId="0" fontId="5" fillId="0" borderId="211" xfId="0" applyNumberFormat="1" applyFont="1" applyFill="1" applyBorder="1" applyAlignment="1">
      <x:alignment vertical="center" wrapText="1"/>
    </x:xf>
    <x:xf numFmtId="0" fontId="7" fillId="43" borderId="0" xfId="0" applyNumberFormat="1" applyFont="1" applyFill="1" applyBorder="1" applyAlignment="1">
      <x:alignment horizontal="center"/>
    </x:xf>
    <x:xf numFmtId="0" fontId="0" fillId="49" borderId="166" xfId="0" applyNumberFormat="1" applyFont="1" applyFill="1" applyBorder="1"/>
    <x:xf numFmtId="0" fontId="0" fillId="49" borderId="0" xfId="0" applyNumberFormat="1" applyFont="1" applyFill="1" applyBorder="1"/>
    <x:xf numFmtId="0" fontId="0" fillId="49" borderId="168" xfId="0" applyNumberFormat="1" applyFont="1" applyFill="1" applyBorder="1"/>
    <x:xf numFmtId="0" fontId="0" fillId="49" borderId="171" xfId="0" applyNumberFormat="1" applyFont="1" applyFill="1" applyBorder="1"/>
    <x:xf numFmtId="0" fontId="0" fillId="49" borderId="212" xfId="0" applyNumberFormat="1" applyFont="1" applyFill="1" applyBorder="1"/>
    <x:xf numFmtId="0" fontId="0" fillId="49" borderId="213" xfId="0" applyNumberFormat="1" applyFont="1" applyFill="1" applyBorder="1"/>
    <x:xf numFmtId="0" fontId="0" fillId="49" borderId="214" xfId="0" applyNumberFormat="1" applyFont="1" applyFill="1" applyBorder="1"/>
    <x:xf numFmtId="0" fontId="0" fillId="49" borderId="215" xfId="0" applyNumberFormat="1" applyFont="1" applyFill="1" applyBorder="1"/>
    <x:xf numFmtId="0" fontId="0" fillId="49" borderId="216" xfId="0" applyNumberFormat="1" applyFont="1" applyFill="1" applyBorder="1"/>
    <x:xf numFmtId="0" fontId="0" fillId="49" borderId="217" xfId="0" applyNumberFormat="1" applyFont="1" applyFill="1" applyBorder="1"/>
    <x:xf numFmtId="0" fontId="0" fillId="49" borderId="218" xfId="0" applyNumberFormat="1" applyFont="1" applyFill="1" applyBorder="1"/>
    <x:xf numFmtId="0" fontId="0" fillId="49" borderId="219" xfId="0" applyNumberFormat="1" applyFont="1" applyFill="1" applyBorder="1"/>
    <x:xf numFmtId="0" fontId="0" fillId="49" borderId="220" xfId="0" applyNumberFormat="1" applyFont="1" applyFill="1" applyBorder="1"/>
    <x:xf numFmtId="0" fontId="5" fillId="0" borderId="202" xfId="0" applyNumberFormat="1" applyFont="1" applyFill="1" applyBorder="1"/>
    <x:xf numFmtId="0" fontId="5" fillId="0" borderId="203" xfId="0" applyNumberFormat="1" applyFont="1" applyFill="1" applyBorder="1"/>
    <x:xf numFmtId="0" fontId="5" fillId="0" borderId="205" xfId="0" applyNumberFormat="1" applyFont="1" applyFill="1" applyBorder="1"/>
    <x:xf numFmtId="0" fontId="5" fillId="0" borderId="206" xfId="0" applyNumberFormat="1" applyFont="1" applyFill="1" applyBorder="1"/>
    <x:xf numFmtId="0" fontId="5" fillId="0" borderId="208" xfId="0" applyNumberFormat="1" applyFont="1" applyFill="1" applyBorder="1"/>
    <x:xf numFmtId="0" fontId="5" fillId="0" borderId="209" xfId="0" applyNumberFormat="1" applyFont="1" applyFill="1" applyBorder="1"/>
    <x:xf numFmtId="0" fontId="5" fillId="0" borderId="202" xfId="0" applyNumberFormat="1" applyFont="1" applyFill="1" applyBorder="1" applyAlignment="1">
      <x:alignment wrapText="1"/>
    </x:xf>
    <x:xf numFmtId="0" fontId="5" fillId="0" borderId="203" xfId="0" applyNumberFormat="1" applyFont="1" applyFill="1" applyBorder="1" applyAlignment="1">
      <x:alignment wrapText="1"/>
    </x:xf>
    <x:xf numFmtId="0" fontId="5" fillId="0" borderId="205" xfId="0" applyNumberFormat="1" applyFont="1" applyFill="1" applyBorder="1" applyAlignment="1">
      <x:alignment wrapText="1"/>
    </x:xf>
    <x:xf numFmtId="0" fontId="5" fillId="0" borderId="206" xfId="0" applyNumberFormat="1" applyFont="1" applyFill="1" applyBorder="1" applyAlignment="1">
      <x:alignment wrapText="1"/>
    </x:xf>
    <x:xf numFmtId="0" fontId="5" fillId="0" borderId="208" xfId="0" applyNumberFormat="1" applyFont="1" applyFill="1" applyBorder="1" applyAlignment="1">
      <x:alignment wrapText="1"/>
    </x:xf>
    <x:xf numFmtId="0" fontId="5" fillId="0" borderId="209" xfId="0" applyNumberFormat="1" applyFont="1" applyFill="1" applyBorder="1" applyAlignment="1">
      <x:alignment wrapText="1"/>
    </x:xf>
    <x:xf numFmtId="0" fontId="5" fillId="0" borderId="205" xfId="0" applyNumberFormat="1" applyFont="1" applyFill="1" applyBorder="1" applyAlignment="1">
      <x:alignment vertical="center" wrapText="1"/>
    </x:xf>
    <x:xf numFmtId="0" fontId="15" fillId="20" borderId="0" xfId="0" applyNumberFormat="1" applyFont="1" applyFill="1" applyBorder="1" applyAlignment="1">
      <x:alignment horizontal="center" vertical="top" wrapText="1"/>
    </x:xf>
    <x:xf numFmtId="0" fontId="16" fillId="47" borderId="0" xfId="0" applyNumberFormat="1" applyFont="1" applyFill="1" applyBorder="1" applyAlignment="1">
      <x:alignment horizontal="center" vertical="center" wrapText="1"/>
    </x:xf>
    <x:xf numFmtId="0" fontId="5" fillId="47" borderId="0" xfId="0" applyNumberFormat="1" applyFont="1" applyFill="1" applyBorder="1" applyAlignment="1">
      <x:alignment vertical="top" wrapText="1"/>
    </x:xf>
    <x:xf numFmtId="0" fontId="19" fillId="47" borderId="0" xfId="0" applyNumberFormat="1" applyFont="1" applyFill="1" applyBorder="1" applyAlignment="1">
      <x:alignment horizontal="center" vertical="center" wrapText="1"/>
    </x:xf>
    <x:xf numFmtId="0" fontId="5" fillId="24" borderId="0" xfId="0" applyNumberFormat="1" applyFont="1" applyFill="1" applyBorder="1" applyAlignment="1">
      <x:alignment wrapText="1"/>
    </x:xf>
    <x:xf numFmtId="0" fontId="20" fillId="24" borderId="0" xfId="0" applyNumberFormat="1" applyFont="1" applyFill="1" applyBorder="1" applyAlignment="1">
      <x:alignment wrapText="1"/>
    </x:xf>
    <x:xf numFmtId="0" fontId="5" fillId="24" borderId="0" xfId="0" applyNumberFormat="1" applyFont="1" applyFill="1" applyBorder="1" applyAlignment="1">
      <x:alignment vertical="center" wrapText="1"/>
    </x:xf>
    <x:xf numFmtId="0" fontId="20" fillId="24" borderId="0" xfId="0" applyNumberFormat="1" applyFont="1" applyFill="1" applyBorder="1" applyAlignment="1">
      <x:alignment vertical="center" wrapText="1"/>
    </x:xf>
    <x:xf numFmtId="0" fontId="4" fillId="50" borderId="0" xfId="0" applyNumberFormat="1" applyFont="1" applyFill="1" applyBorder="1" applyAlignment="1">
      <x:alignment horizontal="center" vertical="center" wrapText="1"/>
    </x:xf>
    <x:xf numFmtId="0" fontId="4" fillId="50" borderId="221" xfId="0" applyNumberFormat="1" applyFont="1" applyFill="1" applyBorder="1" applyAlignment="1">
      <x:alignment horizontal="center" vertical="center" wrapText="1"/>
    </x:xf>
    <x:xf numFmtId="0" fontId="4" fillId="50" borderId="222" xfId="0" applyNumberFormat="1" applyFont="1" applyFill="1" applyBorder="1" applyAlignment="1">
      <x:alignment horizontal="center" vertical="center" wrapText="1"/>
    </x:xf>
    <x:xf numFmtId="0" fontId="4" fillId="50" borderId="223" xfId="0" applyNumberFormat="1" applyFont="1" applyFill="1" applyBorder="1" applyAlignment="1">
      <x:alignment horizontal="center" vertical="center" wrapText="1"/>
    </x:xf>
    <x:xf numFmtId="0" fontId="5" fillId="0" borderId="224" xfId="0" applyNumberFormat="1" applyFont="1" applyFill="1" applyBorder="1" applyAlignment="1">
      <x:alignment horizontal="center" vertical="center" wrapText="1"/>
    </x:xf>
    <x:xf numFmtId="0" fontId="5" fillId="0" borderId="225" xfId="0" applyNumberFormat="1" applyFont="1" applyFill="1" applyBorder="1" applyAlignment="1">
      <x:alignment horizontal="center" vertical="center" wrapText="1"/>
    </x:xf>
    <x:xf numFmtId="0" fontId="5" fillId="0" borderId="225" xfId="0" applyNumberFormat="1" applyFont="1" applyFill="1" applyBorder="1" applyAlignment="1">
      <x:alignment vertical="top" wrapText="1"/>
    </x:xf>
    <x:xf numFmtId="0" fontId="14" fillId="16" borderId="225" xfId="0" applyNumberFormat="1" applyFont="1" applyFill="1" applyBorder="1" applyAlignment="1">
      <x:alignment vertical="top" wrapText="1"/>
    </x:xf>
    <x:xf numFmtId="0" fontId="15" fillId="20" borderId="225" xfId="0" applyNumberFormat="1" applyFont="1" applyFill="1" applyBorder="1" applyAlignment="1">
      <x:alignment horizontal="center" vertical="center" wrapText="1"/>
    </x:xf>
    <x:xf numFmtId="0" fontId="18" fillId="21" borderId="225" xfId="0" applyNumberFormat="1" applyFont="1" applyFill="1" applyBorder="1" applyAlignment="1">
      <x:alignment horizontal="center" vertical="top" wrapText="1"/>
    </x:xf>
    <x:xf numFmtId="0" fontId="5" fillId="24" borderId="225" xfId="0" applyNumberFormat="1" applyFont="1" applyFill="1" applyBorder="1" applyAlignment="1">
      <x:alignment horizontal="center" vertical="center" wrapText="1"/>
    </x:xf>
    <x:xf numFmtId="0" fontId="14" fillId="22" borderId="225" xfId="0" applyNumberFormat="1" applyFont="1" applyFill="1" applyBorder="1" applyAlignment="1">
      <x:alignment horizontal="center" vertical="center" wrapText="1"/>
    </x:xf>
    <x:xf numFmtId="0" fontId="5" fillId="22" borderId="225" xfId="0" applyNumberFormat="1" applyFont="1" applyFill="1" applyBorder="1" applyAlignment="1">
      <x:alignment horizontal="center" vertical="top" wrapText="1"/>
    </x:xf>
    <x:xf numFmtId="0" fontId="19" fillId="47" borderId="225" xfId="0" applyNumberFormat="1" applyFont="1" applyFill="1" applyBorder="1" applyAlignment="1">
      <x:alignment horizontal="center" vertical="center" wrapText="1"/>
    </x:xf>
    <x:xf numFmtId="0" fontId="5" fillId="47" borderId="225" xfId="0" applyNumberFormat="1" applyFont="1" applyFill="1" applyBorder="1" applyAlignment="1">
      <x:alignment vertical="top" wrapText="1"/>
    </x:xf>
    <x:xf numFmtId="0" fontId="5" fillId="24" borderId="225" xfId="0" applyNumberFormat="1" applyFont="1" applyFill="1" applyBorder="1" applyAlignment="1">
      <x:alignment horizontal="center" vertical="top" wrapText="1"/>
    </x:xf>
    <x:xf numFmtId="0" fontId="5" fillId="24" borderId="225" xfId="0" applyNumberFormat="1" applyFont="1" applyFill="1" applyBorder="1" applyAlignment="1">
      <x:alignment vertical="top" wrapText="1"/>
    </x:xf>
    <x:xf numFmtId="0" fontId="5" fillId="0" borderId="225" xfId="0" applyNumberFormat="1" applyFont="1" applyFill="1" applyBorder="1" applyAlignment="1">
      <x:alignment horizontal="center" vertical="top" wrapText="1"/>
    </x:xf>
    <x:xf numFmtId="0" fontId="5" fillId="0" borderId="226" xfId="0" applyNumberFormat="1" applyFont="1" applyFill="1" applyBorder="1" applyAlignment="1">
      <x:alignment vertical="top" wrapText="1"/>
    </x:xf>
    <x:xf numFmtId="0" fontId="5" fillId="0" borderId="227" xfId="0" applyNumberFormat="1" applyFont="1" applyFill="1" applyBorder="1" applyAlignment="1">
      <x:alignment horizontal="center" vertical="center" wrapText="1"/>
    </x:xf>
    <x:xf numFmtId="0" fontId="5" fillId="0" borderId="228" xfId="0" applyNumberFormat="1" applyFont="1" applyFill="1" applyBorder="1" applyAlignment="1">
      <x:alignment vertical="top" wrapText="1"/>
    </x:xf>
    <x:xf numFmtId="0" fontId="5" fillId="0" borderId="229" xfId="0" applyNumberFormat="1" applyFont="1" applyFill="1" applyBorder="1" applyAlignment="1">
      <x:alignment horizontal="center" vertical="center" wrapText="1"/>
    </x:xf>
    <x:xf numFmtId="0" fontId="5" fillId="0" borderId="230" xfId="0" applyNumberFormat="1" applyFont="1" applyFill="1" applyBorder="1" applyAlignment="1">
      <x:alignment horizontal="center" vertical="center" wrapText="1"/>
    </x:xf>
    <x:xf numFmtId="0" fontId="5" fillId="0" borderId="230" xfId="0" applyNumberFormat="1" applyFont="1" applyFill="1" applyBorder="1" applyAlignment="1">
      <x:alignment vertical="top" wrapText="1"/>
    </x:xf>
    <x:xf numFmtId="0" fontId="14" fillId="16" borderId="230" xfId="0" applyNumberFormat="1" applyFont="1" applyFill="1" applyBorder="1" applyAlignment="1">
      <x:alignment vertical="top" wrapText="1"/>
    </x:xf>
    <x:xf numFmtId="0" fontId="15" fillId="20" borderId="230" xfId="0" applyNumberFormat="1" applyFont="1" applyFill="1" applyBorder="1" applyAlignment="1">
      <x:alignment horizontal="center" vertical="center" wrapText="1"/>
    </x:xf>
    <x:xf numFmtId="0" fontId="18" fillId="21" borderId="230" xfId="0" applyNumberFormat="1" applyFont="1" applyFill="1" applyBorder="1" applyAlignment="1">
      <x:alignment horizontal="center" vertical="top" wrapText="1"/>
    </x:xf>
    <x:xf numFmtId="0" fontId="5" fillId="24" borderId="230" xfId="0" applyNumberFormat="1" applyFont="1" applyFill="1" applyBorder="1" applyAlignment="1">
      <x:alignment horizontal="center" vertical="center" wrapText="1"/>
    </x:xf>
    <x:xf numFmtId="0" fontId="14" fillId="22" borderId="230" xfId="0" applyNumberFormat="1" applyFont="1" applyFill="1" applyBorder="1" applyAlignment="1">
      <x:alignment horizontal="center" vertical="center" wrapText="1"/>
    </x:xf>
    <x:xf numFmtId="0" fontId="5" fillId="22" borderId="230" xfId="0" applyNumberFormat="1" applyFont="1" applyFill="1" applyBorder="1" applyAlignment="1">
      <x:alignment horizontal="center" vertical="top" wrapText="1"/>
    </x:xf>
    <x:xf numFmtId="0" fontId="19" fillId="47" borderId="230" xfId="0" applyNumberFormat="1" applyFont="1" applyFill="1" applyBorder="1" applyAlignment="1">
      <x:alignment horizontal="center" vertical="center" wrapText="1"/>
    </x:xf>
    <x:xf numFmtId="0" fontId="5" fillId="47" borderId="230" xfId="0" applyNumberFormat="1" applyFont="1" applyFill="1" applyBorder="1" applyAlignment="1">
      <x:alignment vertical="top" wrapText="1"/>
    </x:xf>
    <x:xf numFmtId="0" fontId="5" fillId="24" borderId="230" xfId="0" applyNumberFormat="1" applyFont="1" applyFill="1" applyBorder="1" applyAlignment="1">
      <x:alignment horizontal="center" vertical="top" wrapText="1"/>
    </x:xf>
    <x:xf numFmtId="0" fontId="5" fillId="24" borderId="230" xfId="0" applyNumberFormat="1" applyFont="1" applyFill="1" applyBorder="1" applyAlignment="1">
      <x:alignment vertical="top" wrapText="1"/>
    </x:xf>
    <x:xf numFmtId="0" fontId="5" fillId="0" borderId="230" xfId="0" applyNumberFormat="1" applyFont="1" applyFill="1" applyBorder="1" applyAlignment="1">
      <x:alignment horizontal="center" vertical="top" wrapText="1"/>
    </x:xf>
    <x:xf numFmtId="0" fontId="5" fillId="0" borderId="231" xfId="0" applyNumberFormat="1" applyFont="1" applyFill="1" applyBorder="1" applyAlignment="1">
      <x:alignment vertical="top" wrapText="1"/>
    </x:xf>
    <x:xf numFmtId="0" fontId="5" fillId="0" borderId="224" xfId="0" applyNumberFormat="1" applyFont="1" applyFill="1" applyBorder="1" applyAlignment="1">
      <x:alignment horizontal="center" vertical="top" wrapText="1"/>
    </x:xf>
    <x:xf numFmtId="0" fontId="15" fillId="20" borderId="225" xfId="0" applyNumberFormat="1" applyFont="1" applyFill="1" applyBorder="1" applyAlignment="1">
      <x:alignment horizontal="center" vertical="top" wrapText="1"/>
    </x:xf>
    <x:xf numFmtId="0" fontId="14" fillId="22" borderId="225" xfId="0" applyNumberFormat="1" applyFont="1" applyFill="1" applyBorder="1" applyAlignment="1">
      <x:alignment horizontal="center" vertical="top" wrapText="1"/>
    </x:xf>
    <x:xf numFmtId="0" fontId="19" fillId="47" borderId="225" xfId="0" applyNumberFormat="1" applyFont="1" applyFill="1" applyBorder="1" applyAlignment="1">
      <x:alignment horizontal="center" vertical="top" wrapText="1"/>
    </x:xf>
    <x:xf numFmtId="0" fontId="5" fillId="0" borderId="227" xfId="0" applyNumberFormat="1" applyFont="1" applyFill="1" applyBorder="1" applyAlignment="1">
      <x:alignment horizontal="center" vertical="top" wrapText="1"/>
    </x:xf>
    <x:xf numFmtId="0" fontId="19" fillId="47" xfId="0" applyNumberFormat="1" applyFont="1" applyFill="1" applyBorder="0" applyAlignment="1">
      <x:alignment horizontal="center" vertical="top" wrapText="1"/>
    </x:xf>
    <x:xf numFmtId="0" fontId="5" fillId="0" borderId="229" xfId="0" applyNumberFormat="1" applyFont="1" applyFill="1" applyBorder="1" applyAlignment="1">
      <x:alignment horizontal="center" vertical="top" wrapText="1"/>
    </x:xf>
    <x:xf numFmtId="0" fontId="15" fillId="20" borderId="230" xfId="0" applyNumberFormat="1" applyFont="1" applyFill="1" applyBorder="1" applyAlignment="1">
      <x:alignment horizontal="center" vertical="top" wrapText="1"/>
    </x:xf>
    <x:xf numFmtId="0" fontId="14" fillId="22" borderId="230" xfId="0" applyNumberFormat="1" applyFont="1" applyFill="1" applyBorder="1" applyAlignment="1">
      <x:alignment horizontal="center" vertical="top" wrapText="1"/>
    </x:xf>
    <x:xf numFmtId="0" fontId="19" fillId="47" borderId="230" xfId="0" applyNumberFormat="1" applyFont="1" applyFill="1" applyBorder="1" applyAlignment="1">
      <x:alignment horizontal="center" vertical="top" wrapText="1"/>
    </x:xf>
    <x:xf numFmtId="0" fontId="15" fillId="51" borderId="225" xfId="0" applyNumberFormat="1" applyFont="1" applyFill="1" applyBorder="1" applyAlignment="1">
      <x:alignment horizontal="center" vertical="center" wrapText="1"/>
    </x:xf>
    <x:xf numFmtId="0" fontId="15" fillId="51" xfId="0" applyNumberFormat="1" applyFont="1" applyFill="1" applyBorder="0" applyAlignment="1">
      <x:alignment horizontal="center" vertical="center" wrapText="1"/>
    </x:xf>
    <x:xf numFmtId="0" fontId="15" fillId="51" borderId="230" xfId="0" applyNumberFormat="1" applyFont="1" applyFill="1" applyBorder="1" applyAlignment="1">
      <x:alignment horizontal="center" vertical="center" wrapText="1"/>
    </x:xf>
    <x:xf numFmtId="0" fontId="21" fillId="51" borderId="225" xfId="0" applyNumberFormat="1" applyFont="1" applyFill="1" applyBorder="1" applyAlignment="1">
      <x:alignment horizontal="center" vertical="center" wrapText="1"/>
    </x:xf>
    <x:xf numFmtId="0" fontId="21" fillId="51" xfId="0" applyNumberFormat="1" applyFont="1" applyFill="1" applyBorder="0" applyAlignment="1">
      <x:alignment horizontal="center" vertical="center" wrapText="1"/>
    </x:xf>
    <x:xf numFmtId="0" fontId="21" fillId="51" borderId="230" xfId="0" applyNumberFormat="1" applyFont="1" applyFill="1" applyBorder="1" applyAlignment="1">
      <x:alignment horizontal="center" vertical="center" wrapText="1"/>
    </x:xf>
    <x:xf numFmtId="0" fontId="18" fillId="52" borderId="225" xfId="0" applyNumberFormat="1" applyFont="1" applyFill="1" applyBorder="1" applyAlignment="1">
      <x:alignment horizontal="center" vertical="top" wrapText="1"/>
    </x:xf>
    <x:xf numFmtId="0" fontId="5" fillId="52" borderId="225" xfId="0" applyNumberFormat="1" applyFont="1" applyFill="1" applyBorder="1" applyAlignment="1">
      <x:alignment horizontal="center" vertical="center" wrapText="1"/>
    </x:xf>
    <x:xf numFmtId="0" fontId="18" fillId="52" xfId="0" applyNumberFormat="1" applyFont="1" applyFill="1" applyBorder="0" applyAlignment="1">
      <x:alignment horizontal="center" vertical="top" wrapText="1"/>
    </x:xf>
    <x:xf numFmtId="0" fontId="5" fillId="52" xfId="0" applyNumberFormat="1" applyFont="1" applyFill="1" applyBorder="0" applyAlignment="1">
      <x:alignment horizontal="center" vertical="center" wrapText="1"/>
    </x:xf>
    <x:xf numFmtId="0" fontId="18" fillId="52" borderId="230" xfId="0" applyNumberFormat="1" applyFont="1" applyFill="1" applyBorder="1" applyAlignment="1">
      <x:alignment horizontal="center" vertical="top" wrapText="1"/>
    </x:xf>
    <x:xf numFmtId="0" fontId="5" fillId="52" borderId="230" xfId="0" applyNumberFormat="1" applyFont="1" applyFill="1" applyBorder="1" applyAlignment="1">
      <x:alignment horizontal="center" vertical="center" wrapText="1"/>
    </x:xf>
    <x:xf numFmtId="0" fontId="19" fillId="53" borderId="225" xfId="0" applyNumberFormat="1" applyFont="1" applyFill="1" applyBorder="1" applyAlignment="1">
      <x:alignment horizontal="center" vertical="center" wrapText="1"/>
    </x:xf>
    <x:xf numFmtId="0" fontId="5" fillId="53" borderId="225" xfId="0" applyNumberFormat="1" applyFont="1" applyFill="1" applyBorder="1" applyAlignment="1">
      <x:alignment vertical="top" wrapText="1"/>
    </x:xf>
    <x:xf numFmtId="0" fontId="19" fillId="53" xfId="0" applyNumberFormat="1" applyFont="1" applyFill="1" applyBorder="0" applyAlignment="1">
      <x:alignment horizontal="center" vertical="center" wrapText="1"/>
    </x:xf>
    <x:xf numFmtId="0" fontId="5" fillId="53" xfId="0" applyNumberFormat="1" applyFont="1" applyFill="1" applyBorder="0" applyAlignment="1">
      <x:alignment vertical="top" wrapText="1"/>
    </x:xf>
    <x:xf numFmtId="0" fontId="19" fillId="53" borderId="230" xfId="0" applyNumberFormat="1" applyFont="1" applyFill="1" applyBorder="1" applyAlignment="1">
      <x:alignment horizontal="center" vertical="center" wrapText="1"/>
    </x:xf>
    <x:xf numFmtId="0" fontId="5" fillId="53" borderId="230" xfId="0" applyNumberFormat="1" applyFont="1" applyFill="1" applyBorder="1" applyAlignment="1">
      <x:alignment vertical="top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/>
    </x:xf>
    <x:xf numFmtId="0" fontId="0" fillId="50" borderId="0" xfId="0" applyNumberFormat="1" applyFont="1" applyFill="1" applyBorder="1"/>
    <x:xf numFmtId="0" fontId="7" fillId="50" borderId="0" xfId="0" applyNumberFormat="1" applyFont="1" applyFill="1" applyBorder="1"/>
    <x:xf numFmtId="0" fontId="7" fillId="50" borderId="0" xfId="0" applyNumberFormat="1" applyFont="1" applyFill="1" applyBorder="1" applyAlignment="1">
      <x:alignment wrapText="1"/>
    </x:xf>
    <x:xf numFmtId="0" fontId="7" fillId="50" borderId="0" xfId="0" applyNumberFormat="1" applyFont="1" applyFill="1" applyBorder="1" applyAlignment="1">
      <x:alignment horizontal="center" wrapText="1"/>
    </x:xf>
    <x:xf numFmtId="0" fontId="0" fillId="0" borderId="232" xfId="0" applyNumberFormat="1" applyFont="1" applyFill="1" applyBorder="1"/>
    <x:xf numFmtId="0" fontId="0" fillId="0" borderId="233" xfId="0" applyNumberFormat="1" applyFont="1" applyFill="1" applyBorder="1"/>
    <x:xf numFmtId="0" fontId="0" fillId="0" borderId="234" xfId="0" applyNumberFormat="1" applyFont="1" applyFill="1" applyBorder="1"/>
    <x:xf numFmtId="0" fontId="0" fillId="0" borderId="235" xfId="0" applyNumberFormat="1" applyFont="1" applyFill="1" applyBorder="1"/>
    <x:xf numFmtId="0" fontId="0" fillId="0" borderId="236" xfId="0" applyNumberFormat="1" applyFont="1" applyFill="1" applyBorder="1"/>
    <x:xf numFmtId="0" fontId="0" fillId="0" borderId="237" xfId="0" applyNumberFormat="1" applyFont="1" applyFill="1" applyBorder="1"/>
    <x:xf numFmtId="0" fontId="0" fillId="0" borderId="238" xfId="0" applyNumberFormat="1" applyFont="1" applyFill="1" applyBorder="1"/>
    <x:xf numFmtId="0" fontId="0" fillId="0" borderId="239" xfId="0" applyNumberFormat="1" applyFont="1" applyFill="1" applyBorder="1"/>
    <x:xf numFmtId="0" fontId="0" fillId="0" borderId="232" xfId="0" applyNumberFormat="1" applyFont="1" applyFill="1" applyBorder="1" applyAlignment="1">
      <x:alignment wrapText="1"/>
    </x:xf>
    <x:xf numFmtId="0" fontId="0" fillId="0" borderId="233" xfId="0" applyNumberFormat="1" applyFont="1" applyFill="1" applyBorder="1" applyAlignment="1">
      <x:alignment wrapText="1"/>
    </x:xf>
    <x:xf numFmtId="0" fontId="0" fillId="0" borderId="234" xfId="0" applyNumberFormat="1" applyFont="1" applyFill="1" applyBorder="1" applyAlignment="1">
      <x:alignment wrapText="1"/>
    </x:xf>
    <x:xf numFmtId="0" fontId="0" fillId="0" borderId="235" xfId="0" applyNumberFormat="1" applyFont="1" applyFill="1" applyBorder="1" applyAlignment="1">
      <x:alignment wrapText="1"/>
    </x:xf>
    <x:xf numFmtId="0" fontId="0" fillId="0" borderId="236" xfId="0" applyNumberFormat="1" applyFont="1" applyFill="1" applyBorder="1" applyAlignment="1">
      <x:alignment wrapText="1"/>
    </x:xf>
    <x:xf numFmtId="0" fontId="0" fillId="0" borderId="237" xfId="0" applyNumberFormat="1" applyFont="1" applyFill="1" applyBorder="1" applyAlignment="1">
      <x:alignment wrapText="1"/>
    </x:xf>
    <x:xf numFmtId="0" fontId="0" fillId="0" borderId="238" xfId="0" applyNumberFormat="1" applyFont="1" applyFill="1" applyBorder="1" applyAlignment="1">
      <x:alignment wrapText="1"/>
    </x:xf>
    <x:xf numFmtId="0" fontId="0" fillId="0" borderId="239" xfId="0" applyNumberFormat="1" applyFont="1" applyFill="1" applyBorder="1" applyAlignment="1">
      <x:alignment wrapText="1"/>
    </x:xf>
    <x:xf numFmtId="0" fontId="0" fillId="0" borderId="232" xfId="0" applyNumberFormat="1" applyFont="1" applyFill="1" applyBorder="1" applyAlignment="1">
      <x:alignment vertical="center" wrapText="1"/>
    </x:xf>
    <x:xf numFmtId="0" fontId="0" fillId="0" borderId="233" xfId="0" applyNumberFormat="1" applyFont="1" applyFill="1" applyBorder="1" applyAlignment="1">
      <x:alignment vertical="center" wrapText="1"/>
    </x:xf>
    <x:xf numFmtId="0" fontId="0" fillId="0" borderId="234" xfId="0" applyNumberFormat="1" applyFont="1" applyFill="1" applyBorder="1" applyAlignment="1">
      <x:alignment vertical="center" wrapText="1"/>
    </x:xf>
    <x:xf numFmtId="0" fontId="0" fillId="0" borderId="235" xfId="0" applyNumberFormat="1" applyFont="1" applyFill="1" applyBorder="1" applyAlignment="1">
      <x:alignment vertical="center" wrapText="1"/>
    </x:xf>
    <x:xf numFmtId="0" fontId="0" fillId="0" borderId="236" xfId="0" applyNumberFormat="1" applyFont="1" applyFill="1" applyBorder="1" applyAlignment="1">
      <x:alignment vertical="center" wrapText="1"/>
    </x:xf>
    <x:xf numFmtId="0" fontId="0" fillId="0" borderId="237" xfId="0" applyNumberFormat="1" applyFont="1" applyFill="1" applyBorder="1" applyAlignment="1">
      <x:alignment vertical="center" wrapText="1"/>
    </x:xf>
    <x:xf numFmtId="0" fontId="0" fillId="0" borderId="238" xfId="0" applyNumberFormat="1" applyFont="1" applyFill="1" applyBorder="1" applyAlignment="1">
      <x:alignment vertical="center" wrapText="1"/>
    </x:xf>
    <x:xf numFmtId="0" fontId="0" fillId="0" borderId="239" xfId="0" applyNumberFormat="1" applyFont="1" applyFill="1" applyBorder="1" applyAlignment="1">
      <x:alignment vertical="center" wrapText="1"/>
    </x:xf>
    <x:xf numFmtId="0" fontId="7" fillId="50" borderId="0" xfId="0" applyNumberFormat="1" applyFont="1" applyFill="1" applyBorder="1" applyAlignment="1">
      <x:alignment horizontal="center"/>
    </x:xf>
    <x:xf numFmtId="0" fontId="5" fillId="0" borderId="224" xfId="0" applyNumberFormat="1" applyFont="1" applyFill="1" applyBorder="1"/>
    <x:xf numFmtId="0" fontId="5" fillId="0" borderId="225" xfId="0" applyNumberFormat="1" applyFont="1" applyFill="1" applyBorder="1"/>
    <x:xf numFmtId="0" fontId="5" fillId="0" borderId="226" xfId="0" applyNumberFormat="1" applyFont="1" applyFill="1" applyBorder="1"/>
    <x:xf numFmtId="0" fontId="5" fillId="0" borderId="227" xfId="0" applyNumberFormat="1" applyFont="1" applyFill="1" applyBorder="1"/>
    <x:xf numFmtId="0" fontId="5" fillId="0" borderId="228" xfId="0" applyNumberFormat="1" applyFont="1" applyFill="1" applyBorder="1"/>
    <x:xf numFmtId="0" fontId="5" fillId="0" borderId="229" xfId="0" applyNumberFormat="1" applyFont="1" applyFill="1" applyBorder="1"/>
    <x:xf numFmtId="0" fontId="5" fillId="0" borderId="230" xfId="0" applyNumberFormat="1" applyFont="1" applyFill="1" applyBorder="1"/>
    <x:xf numFmtId="0" fontId="5" fillId="0" borderId="231" xfId="0" applyNumberFormat="1" applyFont="1" applyFill="1" applyBorder="1"/>
    <x:xf numFmtId="0" fontId="5" fillId="0" borderId="224" xfId="0" applyNumberFormat="1" applyFont="1" applyFill="1" applyBorder="1" applyAlignment="1">
      <x:alignment wrapText="1"/>
    </x:xf>
    <x:xf numFmtId="0" fontId="5" fillId="0" borderId="225" xfId="0" applyNumberFormat="1" applyFont="1" applyFill="1" applyBorder="1" applyAlignment="1">
      <x:alignment wrapText="1"/>
    </x:xf>
    <x:xf numFmtId="0" fontId="5" fillId="0" borderId="226" xfId="0" applyNumberFormat="1" applyFont="1" applyFill="1" applyBorder="1" applyAlignment="1">
      <x:alignment wrapText="1"/>
    </x:xf>
    <x:xf numFmtId="0" fontId="5" fillId="0" borderId="227" xfId="0" applyNumberFormat="1" applyFont="1" applyFill="1" applyBorder="1" applyAlignment="1">
      <x:alignment wrapText="1"/>
    </x:xf>
    <x:xf numFmtId="0" fontId="5" fillId="0" borderId="228" xfId="0" applyNumberFormat="1" applyFont="1" applyFill="1" applyBorder="1" applyAlignment="1">
      <x:alignment wrapText="1"/>
    </x:xf>
    <x:xf numFmtId="0" fontId="5" fillId="0" borderId="229" xfId="0" applyNumberFormat="1" applyFont="1" applyFill="1" applyBorder="1" applyAlignment="1">
      <x:alignment wrapText="1"/>
    </x:xf>
    <x:xf numFmtId="0" fontId="5" fillId="0" borderId="230" xfId="0" applyNumberFormat="1" applyFont="1" applyFill="1" applyBorder="1" applyAlignment="1">
      <x:alignment wrapText="1"/>
    </x:xf>
    <x:xf numFmtId="0" fontId="5" fillId="0" borderId="231" xfId="0" applyNumberFormat="1" applyFont="1" applyFill="1" applyBorder="1" applyAlignment="1">
      <x:alignment wrapText="1"/>
    </x:xf>
    <x:xf numFmtId="0" fontId="5" fillId="0" borderId="224" xfId="0" applyNumberFormat="1" applyFont="1" applyFill="1" applyBorder="1" applyAlignment="1">
      <x:alignment vertical="center" wrapText="1"/>
    </x:xf>
    <x:xf numFmtId="0" fontId="5" fillId="0" borderId="225" xfId="0" applyNumberFormat="1" applyFont="1" applyFill="1" applyBorder="1" applyAlignment="1">
      <x:alignment vertical="center" wrapText="1"/>
    </x:xf>
    <x:xf numFmtId="0" fontId="5" fillId="0" borderId="226" xfId="0" applyNumberFormat="1" applyFont="1" applyFill="1" applyBorder="1" applyAlignment="1">
      <x:alignment vertical="center" wrapText="1"/>
    </x:xf>
    <x:xf numFmtId="0" fontId="5" fillId="0" borderId="227" xfId="0" applyNumberFormat="1" applyFont="1" applyFill="1" applyBorder="1" applyAlignment="1">
      <x:alignment vertical="center" wrapText="1"/>
    </x:xf>
    <x:xf numFmtId="0" fontId="5" fillId="0" borderId="228" xfId="0" applyNumberFormat="1" applyFont="1" applyFill="1" applyBorder="1" applyAlignment="1">
      <x:alignment vertical="center" wrapText="1"/>
    </x:xf>
    <x:xf numFmtId="0" fontId="5" fillId="0" borderId="229" xfId="0" applyNumberFormat="1" applyFont="1" applyFill="1" applyBorder="1" applyAlignment="1">
      <x:alignment vertical="center" wrapText="1"/>
    </x:xf>
    <x:xf numFmtId="0" fontId="5" fillId="0" borderId="230" xfId="0" applyNumberFormat="1" applyFont="1" applyFill="1" applyBorder="1" applyAlignment="1">
      <x:alignment vertical="center" wrapText="1"/>
    </x:xf>
    <x:xf numFmtId="0" fontId="5" fillId="0" borderId="231" xfId="0" applyNumberFormat="1" applyFont="1" applyFill="1" applyBorder="1" applyAlignment="1">
      <x:alignment vertical="center" wrapText="1"/>
    </x:xf>
    <x:xf numFmtId="0" fontId="10" fillId="54" borderId="0" xfId="0" applyNumberFormat="1" applyFont="1" applyFill="1" applyBorder="1" applyAlignment="1">
      <x:alignment horizontal="center" vertical="center"/>
    </x:xf>
    <x:xf numFmtId="0" fontId="10" fillId="54" borderId="0" xfId="0" applyNumberFormat="1" applyFont="1" applyFill="1" applyBorder="1" applyAlignment="1">
      <x:alignment horizontal="center"/>
    </x:xf>
    <x:xf numFmtId="0" fontId="5" fillId="0" borderId="232" xfId="0" applyNumberFormat="1" applyFont="1" applyFill="1" applyBorder="1" applyAlignment="1">
      <x:alignment vertical="center" wrapText="1"/>
    </x:xf>
    <x:xf numFmtId="0" fontId="5" fillId="0" borderId="233" xfId="0" applyNumberFormat="1" applyFont="1" applyFill="1" applyBorder="1" applyAlignment="1">
      <x:alignment vertical="center" wrapText="1"/>
    </x:xf>
    <x:xf numFmtId="0" fontId="5" fillId="24" borderId="234" xfId="0" applyNumberFormat="1" applyFont="1" applyFill="1" applyBorder="1" applyAlignment="1">
      <x:alignment vertical="center" wrapText="1"/>
    </x:xf>
    <x:xf numFmtId="0" fontId="5" fillId="0" borderId="235" xfId="0" applyNumberFormat="1" applyFont="1" applyFill="1" applyBorder="1" applyAlignment="1">
      <x:alignment vertical="center" wrapText="1"/>
    </x:xf>
    <x:xf numFmtId="0" fontId="5" fillId="24" borderId="236" xfId="0" applyNumberFormat="1" applyFont="1" applyFill="1" applyBorder="1" applyAlignment="1">
      <x:alignment vertical="center" wrapText="1"/>
    </x:xf>
    <x:xf numFmtId="0" fontId="20" fillId="24" borderId="236" xfId="0" applyNumberFormat="1" applyFont="1" applyFill="1" applyBorder="1" applyAlignment="1">
      <x:alignment vertical="center" wrapText="1"/>
    </x:xf>
    <x:xf numFmtId="0" fontId="5" fillId="0" borderId="236" xfId="0" applyNumberFormat="1" applyFont="1" applyFill="1" applyBorder="1" applyAlignment="1">
      <x:alignment vertical="center" wrapText="1"/>
    </x:xf>
    <x:xf numFmtId="0" fontId="5" fillId="0" borderId="237" xfId="0" applyNumberFormat="1" applyFont="1" applyFill="1" applyBorder="1" applyAlignment="1">
      <x:alignment vertical="center" wrapText="1"/>
    </x:xf>
    <x:xf numFmtId="0" fontId="5" fillId="0" borderId="238" xfId="0" applyNumberFormat="1" applyFont="1" applyFill="1" applyBorder="1" applyAlignment="1">
      <x:alignment vertical="center" wrapText="1"/>
    </x:xf>
    <x:xf numFmtId="0" fontId="5" fillId="0" borderId="239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/>
    <x:xf numFmtId="0" fontId="0" fillId="55" borderId="240" xfId="0" applyNumberFormat="1" applyFont="1" applyFill="1" applyBorder="1"/>
    <x:xf numFmtId="0" fontId="0" fillId="55" borderId="241" xfId="0" applyNumberFormat="1" applyFont="1" applyFill="1" applyBorder="1"/>
    <x:xf numFmtId="0" fontId="0" fillId="55" borderId="242" xfId="0" applyNumberFormat="1" applyFont="1" applyFill="1" applyBorder="1"/>
    <x:xf numFmtId="0" fontId="0" fillId="55" borderId="243" xfId="0" applyNumberFormat="1" applyFont="1" applyFill="1" applyBorder="1"/>
    <x:xf numFmtId="0" fontId="0" fillId="55" borderId="244" xfId="0" applyNumberFormat="1" applyFont="1" applyFill="1" applyBorder="1"/>
    <x:xf numFmtId="0" fontId="0" fillId="55" borderId="245" xfId="0" applyNumberFormat="1" applyFont="1" applyFill="1" applyBorder="1"/>
    <x:xf numFmtId="0" fontId="10" fillId="54" borderId="0" xfId="0" applyNumberFormat="1" applyFont="1" applyFill="1" applyBorder="1"/>
    <x:xf numFmtId="0" fontId="5" fillId="0" borderId="234" xfId="0" applyNumberFormat="1" applyFont="1" applyFill="1" applyBorder="1"/>
    <x:xf numFmtId="0" fontId="5" fillId="0" borderId="236" xfId="0" applyNumberFormat="1" applyFont="1" applyFill="1" applyBorder="1"/>
    <x:xf numFmtId="0" fontId="5" fillId="0" borderId="239" xfId="0" applyNumberFormat="1" applyFont="1" applyFill="1" applyBorder="1"/>
    <x:xf numFmtId="0" fontId="5" fillId="0" borderId="234" xfId="0" applyNumberFormat="1" applyFont="1" applyFill="1" applyBorder="1" applyAlignment="1">
      <x:alignment wrapText="1"/>
    </x:xf>
    <x:xf numFmtId="0" fontId="5" fillId="0" borderId="236" xfId="0" applyNumberFormat="1" applyFont="1" applyFill="1" applyBorder="1" applyAlignment="1">
      <x:alignment wrapText="1"/>
    </x:xf>
    <x:xf numFmtId="0" fontId="5" fillId="0" borderId="239" xfId="0" applyNumberFormat="1" applyFont="1" applyFill="1" applyBorder="1" applyAlignment="1">
      <x:alignment wrapText="1"/>
    </x:xf>
    <x:xf numFmtId="0" fontId="5" fillId="0" borderId="234" xfId="0" applyNumberFormat="1" applyFont="1" applyFill="1" applyBorder="1" applyAlignment="1">
      <x:alignment vertical="center" wrapText="1"/>
    </x:xf>
    <x:xf numFmtId="0" fontId="19" fillId="47" borderId="0" xfId="0" applyNumberFormat="1" applyFont="1" applyFill="1" applyBorder="1" applyAlignment="1">
      <x:alignment horizontal="center" vertical="top" wrapText="1"/>
    </x:xf>
    <x:xf numFmtId="0" fontId="15" fillId="51" borderId="0" xfId="0" applyNumberFormat="1" applyFont="1" applyFill="1" applyBorder="1" applyAlignment="1">
      <x:alignment horizontal="center" vertical="center" wrapText="1"/>
    </x:xf>
    <x:xf numFmtId="0" fontId="21" fillId="51" borderId="0" xfId="0" applyNumberFormat="1" applyFont="1" applyFill="1" applyBorder="1" applyAlignment="1">
      <x:alignment horizontal="center" vertical="center" wrapText="1"/>
    </x:xf>
    <x:xf numFmtId="0" fontId="18" fillId="52" borderId="0" xfId="0" applyNumberFormat="1" applyFont="1" applyFill="1" applyBorder="1" applyAlignment="1">
      <x:alignment horizontal="center" vertical="top" wrapText="1"/>
    </x:xf>
    <x:xf numFmtId="0" fontId="5" fillId="52" borderId="0" xfId="0" applyNumberFormat="1" applyFont="1" applyFill="1" applyBorder="1" applyAlignment="1">
      <x:alignment horizontal="center" vertical="center" wrapText="1"/>
    </x:xf>
    <x:xf numFmtId="0" fontId="4" fillId="56" borderId="0" xfId="0" applyNumberFormat="1" applyFont="1" applyFill="1" applyBorder="1" applyAlignment="1">
      <x:alignment horizontal="center" vertical="center" wrapText="1"/>
    </x:xf>
    <x:xf numFmtId="0" fontId="4" fillId="56" borderId="246" xfId="0" applyNumberFormat="1" applyFont="1" applyFill="1" applyBorder="1" applyAlignment="1">
      <x:alignment horizontal="center" vertical="center" wrapText="1"/>
    </x:xf>
    <x:xf numFmtId="0" fontId="4" fillId="56" borderId="247" xfId="0" applyNumberFormat="1" applyFont="1" applyFill="1" applyBorder="1" applyAlignment="1">
      <x:alignment horizontal="center" vertical="center" wrapText="1"/>
    </x:xf>
    <x:xf numFmtId="0" fontId="4" fillId="56" borderId="248" xfId="0" applyNumberFormat="1" applyFont="1" applyFill="1" applyBorder="1" applyAlignment="1">
      <x:alignment horizontal="center" vertical="center" wrapText="1"/>
    </x:xf>
    <x:xf numFmtId="0" fontId="5" fillId="0" borderId="249" xfId="0" applyNumberFormat="1" applyFont="1" applyFill="1" applyBorder="1" applyAlignment="1">
      <x:alignment horizontal="center" vertical="center" wrapText="1"/>
    </x:xf>
    <x:xf numFmtId="0" fontId="5" fillId="0" borderId="250" xfId="0" applyNumberFormat="1" applyFont="1" applyFill="1" applyBorder="1" applyAlignment="1">
      <x:alignment horizontal="center" vertical="center" wrapText="1"/>
    </x:xf>
    <x:xf numFmtId="0" fontId="5" fillId="0" borderId="250" xfId="0" applyNumberFormat="1" applyFont="1" applyFill="1" applyBorder="1" applyAlignment="1">
      <x:alignment vertical="top" wrapText="1"/>
    </x:xf>
    <x:xf numFmtId="0" fontId="14" fillId="16" borderId="250" xfId="0" applyNumberFormat="1" applyFont="1" applyFill="1" applyBorder="1" applyAlignment="1">
      <x:alignment vertical="top" wrapText="1"/>
    </x:xf>
    <x:xf numFmtId="0" fontId="15" fillId="51" borderId="250" xfId="0" applyNumberFormat="1" applyFont="1" applyFill="1" applyBorder="1" applyAlignment="1">
      <x:alignment horizontal="center" vertical="center" wrapText="1"/>
    </x:xf>
    <x:xf numFmtId="0" fontId="18" fillId="52" borderId="250" xfId="0" applyNumberFormat="1" applyFont="1" applyFill="1" applyBorder="1" applyAlignment="1">
      <x:alignment horizontal="center" vertical="top" wrapText="1"/>
    </x:xf>
    <x:xf numFmtId="0" fontId="5" fillId="52" borderId="250" xfId="0" applyNumberFormat="1" applyFont="1" applyFill="1" applyBorder="1" applyAlignment="1">
      <x:alignment horizontal="center" vertical="center" wrapText="1"/>
    </x:xf>
    <x:xf numFmtId="0" fontId="14" fillId="22" borderId="250" xfId="0" applyNumberFormat="1" applyFont="1" applyFill="1" applyBorder="1" applyAlignment="1">
      <x:alignment horizontal="center" vertical="center" wrapText="1"/>
    </x:xf>
    <x:xf numFmtId="0" fontId="5" fillId="22" borderId="250" xfId="0" applyNumberFormat="1" applyFont="1" applyFill="1" applyBorder="1" applyAlignment="1">
      <x:alignment horizontal="center" vertical="top" wrapText="1"/>
    </x:xf>
    <x:xf numFmtId="0" fontId="19" fillId="47" borderId="250" xfId="0" applyNumberFormat="1" applyFont="1" applyFill="1" applyBorder="1" applyAlignment="1">
      <x:alignment horizontal="center" vertical="center" wrapText="1"/>
    </x:xf>
    <x:xf numFmtId="0" fontId="5" fillId="47" borderId="250" xfId="0" applyNumberFormat="1" applyFont="1" applyFill="1" applyBorder="1" applyAlignment="1">
      <x:alignment vertical="top" wrapText="1"/>
    </x:xf>
    <x:xf numFmtId="0" fontId="5" fillId="24" borderId="250" xfId="0" applyNumberFormat="1" applyFont="1" applyFill="1" applyBorder="1" applyAlignment="1">
      <x:alignment horizontal="center" vertical="top" wrapText="1"/>
    </x:xf>
    <x:xf numFmtId="0" fontId="5" fillId="24" borderId="250" xfId="0" applyNumberFormat="1" applyFont="1" applyFill="1" applyBorder="1" applyAlignment="1">
      <x:alignment vertical="top" wrapText="1"/>
    </x:xf>
    <x:xf numFmtId="0" fontId="5" fillId="24" borderId="250" xfId="0" applyNumberFormat="1" applyFont="1" applyFill="1" applyBorder="1" applyAlignment="1">
      <x:alignment horizontal="center" vertical="center" wrapText="1"/>
    </x:xf>
    <x:xf numFmtId="0" fontId="5" fillId="0" borderId="250" xfId="0" applyNumberFormat="1" applyFont="1" applyFill="1" applyBorder="1" applyAlignment="1">
      <x:alignment horizontal="center" vertical="top" wrapText="1"/>
    </x:xf>
    <x:xf numFmtId="0" fontId="5" fillId="0" borderId="251" xfId="0" applyNumberFormat="1" applyFont="1" applyFill="1" applyBorder="1" applyAlignment="1">
      <x:alignment vertical="top" wrapText="1"/>
    </x:xf>
    <x:xf numFmtId="0" fontId="5" fillId="0" borderId="252" xfId="0" applyNumberFormat="1" applyFont="1" applyFill="1" applyBorder="1" applyAlignment="1">
      <x:alignment horizontal="center" vertical="center" wrapText="1"/>
    </x:xf>
    <x:xf numFmtId="0" fontId="5" fillId="0" borderId="253" xfId="0" applyNumberFormat="1" applyFont="1" applyFill="1" applyBorder="1" applyAlignment="1">
      <x:alignment vertical="top" wrapText="1"/>
    </x:xf>
    <x:xf numFmtId="0" fontId="5" fillId="0" borderId="254" xfId="0" applyNumberFormat="1" applyFont="1" applyFill="1" applyBorder="1" applyAlignment="1">
      <x:alignment horizontal="center" vertical="center" wrapText="1"/>
    </x:xf>
    <x:xf numFmtId="0" fontId="5" fillId="0" borderId="255" xfId="0" applyNumberFormat="1" applyFont="1" applyFill="1" applyBorder="1" applyAlignment="1">
      <x:alignment horizontal="center" vertical="center" wrapText="1"/>
    </x:xf>
    <x:xf numFmtId="0" fontId="5" fillId="0" borderId="255" xfId="0" applyNumberFormat="1" applyFont="1" applyFill="1" applyBorder="1" applyAlignment="1">
      <x:alignment vertical="top" wrapText="1"/>
    </x:xf>
    <x:xf numFmtId="0" fontId="14" fillId="16" borderId="255" xfId="0" applyNumberFormat="1" applyFont="1" applyFill="1" applyBorder="1" applyAlignment="1">
      <x:alignment vertical="top" wrapText="1"/>
    </x:xf>
    <x:xf numFmtId="0" fontId="15" fillId="51" borderId="255" xfId="0" applyNumberFormat="1" applyFont="1" applyFill="1" applyBorder="1" applyAlignment="1">
      <x:alignment horizontal="center" vertical="center" wrapText="1"/>
    </x:xf>
    <x:xf numFmtId="0" fontId="18" fillId="52" borderId="255" xfId="0" applyNumberFormat="1" applyFont="1" applyFill="1" applyBorder="1" applyAlignment="1">
      <x:alignment horizontal="center" vertical="top" wrapText="1"/>
    </x:xf>
    <x:xf numFmtId="0" fontId="5" fillId="52" borderId="255" xfId="0" applyNumberFormat="1" applyFont="1" applyFill="1" applyBorder="1" applyAlignment="1">
      <x:alignment horizontal="center" vertical="center" wrapText="1"/>
    </x:xf>
    <x:xf numFmtId="0" fontId="14" fillId="22" borderId="255" xfId="0" applyNumberFormat="1" applyFont="1" applyFill="1" applyBorder="1" applyAlignment="1">
      <x:alignment horizontal="center" vertical="center" wrapText="1"/>
    </x:xf>
    <x:xf numFmtId="0" fontId="5" fillId="22" borderId="255" xfId="0" applyNumberFormat="1" applyFont="1" applyFill="1" applyBorder="1" applyAlignment="1">
      <x:alignment horizontal="center" vertical="top" wrapText="1"/>
    </x:xf>
    <x:xf numFmtId="0" fontId="19" fillId="47" borderId="255" xfId="0" applyNumberFormat="1" applyFont="1" applyFill="1" applyBorder="1" applyAlignment="1">
      <x:alignment horizontal="center" vertical="center" wrapText="1"/>
    </x:xf>
    <x:xf numFmtId="0" fontId="5" fillId="47" borderId="255" xfId="0" applyNumberFormat="1" applyFont="1" applyFill="1" applyBorder="1" applyAlignment="1">
      <x:alignment vertical="top" wrapText="1"/>
    </x:xf>
    <x:xf numFmtId="0" fontId="5" fillId="24" borderId="255" xfId="0" applyNumberFormat="1" applyFont="1" applyFill="1" applyBorder="1" applyAlignment="1">
      <x:alignment horizontal="center" vertical="top" wrapText="1"/>
    </x:xf>
    <x:xf numFmtId="0" fontId="5" fillId="24" borderId="255" xfId="0" applyNumberFormat="1" applyFont="1" applyFill="1" applyBorder="1" applyAlignment="1">
      <x:alignment vertical="top" wrapText="1"/>
    </x:xf>
    <x:xf numFmtId="0" fontId="5" fillId="24" borderId="255" xfId="0" applyNumberFormat="1" applyFont="1" applyFill="1" applyBorder="1" applyAlignment="1">
      <x:alignment horizontal="center" vertical="center" wrapText="1"/>
    </x:xf>
    <x:xf numFmtId="0" fontId="5" fillId="0" borderId="255" xfId="0" applyNumberFormat="1" applyFont="1" applyFill="1" applyBorder="1" applyAlignment="1">
      <x:alignment horizontal="center" vertical="top" wrapText="1"/>
    </x:xf>
    <x:xf numFmtId="0" fontId="5" fillId="0" borderId="256" xfId="0" applyNumberFormat="1" applyFont="1" applyFill="1" applyBorder="1" applyAlignment="1">
      <x:alignment vertical="top" wrapText="1"/>
    </x:xf>
    <x:xf numFmtId="0" fontId="5" fillId="0" borderId="249" xfId="0" applyNumberFormat="1" applyFont="1" applyFill="1" applyBorder="1" applyAlignment="1">
      <x:alignment horizontal="center" vertical="top" wrapText="1"/>
    </x:xf>
    <x:xf numFmtId="0" fontId="15" fillId="51" borderId="250" xfId="0" applyNumberFormat="1" applyFont="1" applyFill="1" applyBorder="1" applyAlignment="1">
      <x:alignment horizontal="center" vertical="top" wrapText="1"/>
    </x:xf>
    <x:xf numFmtId="0" fontId="5" fillId="52" borderId="250" xfId="0" applyNumberFormat="1" applyFont="1" applyFill="1" applyBorder="1" applyAlignment="1">
      <x:alignment horizontal="center" vertical="top" wrapText="1"/>
    </x:xf>
    <x:xf numFmtId="0" fontId="14" fillId="22" borderId="250" xfId="0" applyNumberFormat="1" applyFont="1" applyFill="1" applyBorder="1" applyAlignment="1">
      <x:alignment horizontal="center" vertical="top" wrapText="1"/>
    </x:xf>
    <x:xf numFmtId="0" fontId="19" fillId="47" borderId="250" xfId="0" applyNumberFormat="1" applyFont="1" applyFill="1" applyBorder="1" applyAlignment="1">
      <x:alignment horizontal="center" vertical="top" wrapText="1"/>
    </x:xf>
    <x:xf numFmtId="0" fontId="5" fillId="0" borderId="252" xfId="0" applyNumberFormat="1" applyFont="1" applyFill="1" applyBorder="1" applyAlignment="1">
      <x:alignment horizontal="center" vertical="top" wrapText="1"/>
    </x:xf>
    <x:xf numFmtId="0" fontId="15" fillId="51" xfId="0" applyNumberFormat="1" applyFont="1" applyFill="1" applyBorder="0" applyAlignment="1">
      <x:alignment horizontal="center" vertical="top" wrapText="1"/>
    </x:xf>
    <x:xf numFmtId="0" fontId="5" fillId="52" xfId="0" applyNumberFormat="1" applyFont="1" applyFill="1" applyBorder="0" applyAlignment="1">
      <x:alignment horizontal="center" vertical="top" wrapText="1"/>
    </x:xf>
    <x:xf numFmtId="0" fontId="5" fillId="0" borderId="254" xfId="0" applyNumberFormat="1" applyFont="1" applyFill="1" applyBorder="1" applyAlignment="1">
      <x:alignment horizontal="center" vertical="top" wrapText="1"/>
    </x:xf>
    <x:xf numFmtId="0" fontId="15" fillId="51" borderId="255" xfId="0" applyNumberFormat="1" applyFont="1" applyFill="1" applyBorder="1" applyAlignment="1">
      <x:alignment horizontal="center" vertical="top" wrapText="1"/>
    </x:xf>
    <x:xf numFmtId="0" fontId="5" fillId="52" borderId="255" xfId="0" applyNumberFormat="1" applyFont="1" applyFill="1" applyBorder="1" applyAlignment="1">
      <x:alignment horizontal="center" vertical="top" wrapText="1"/>
    </x:xf>
    <x:xf numFmtId="0" fontId="14" fillId="22" borderId="255" xfId="0" applyNumberFormat="1" applyFont="1" applyFill="1" applyBorder="1" applyAlignment="1">
      <x:alignment horizontal="center" vertical="top" wrapText="1"/>
    </x:xf>
    <x:xf numFmtId="0" fontId="19" fillId="47" borderId="255" xfId="0" applyNumberFormat="1" applyFont="1" applyFill="1" applyBorder="1" applyAlignment="1">
      <x:alignment horizontal="center" vertical="top" wrapText="1"/>
    </x:xf>
    <x:xf numFmtId="0" fontId="14" fillId="57" borderId="250" xfId="0" applyNumberFormat="1" applyFont="1" applyFill="1" applyBorder="1" applyAlignment="1">
      <x:alignment vertical="top" wrapText="1"/>
    </x:xf>
    <x:xf numFmtId="0" fontId="14" fillId="57" xfId="0" applyNumberFormat="1" applyFont="1" applyFill="1" applyBorder="0" applyAlignment="1">
      <x:alignment vertical="top" wrapText="1"/>
    </x:xf>
    <x:xf numFmtId="0" fontId="14" fillId="57" borderId="255" xfId="0" applyNumberFormat="1" applyFont="1" applyFill="1" applyBorder="1" applyAlignment="1">
      <x:alignment vertical="top" wrapText="1"/>
    </x:xf>
    <x:xf numFmtId="0" fontId="21" fillId="57" borderId="250" xfId="0" applyNumberFormat="1" applyFont="1" applyFill="1" applyBorder="1" applyAlignment="1">
      <x:alignment vertical="top" wrapText="1"/>
    </x:xf>
    <x:xf numFmtId="0" fontId="21" fillId="57" xfId="0" applyNumberFormat="1" applyFont="1" applyFill="1" applyBorder="0" applyAlignment="1">
      <x:alignment vertical="top" wrapText="1"/>
    </x:xf>
    <x:xf numFmtId="0" fontId="21" fillId="57" borderId="255" xfId="0" applyNumberFormat="1" applyFont="1" applyFill="1" applyBorder="1" applyAlignment="1">
      <x:alignment vertical="top" wrapText="1"/>
    </x:xf>
    <x:xf numFmtId="0" fontId="15" fillId="58" borderId="250" xfId="0" applyNumberFormat="1" applyFont="1" applyFill="1" applyBorder="1" applyAlignment="1">
      <x:alignment horizontal="center" vertical="top" wrapText="1"/>
    </x:xf>
    <x:xf numFmtId="0" fontId="18" fillId="58" borderId="250" xfId="0" applyNumberFormat="1" applyFont="1" applyFill="1" applyBorder="1" applyAlignment="1">
      <x:alignment horizontal="center" vertical="top" wrapText="1"/>
    </x:xf>
    <x:xf numFmtId="0" fontId="5" fillId="58" borderId="250" xfId="0" applyNumberFormat="1" applyFont="1" applyFill="1" applyBorder="1" applyAlignment="1">
      <x:alignment horizontal="center" vertical="center" wrapText="1"/>
    </x:xf>
    <x:xf numFmtId="0" fontId="15" fillId="58" xfId="0" applyNumberFormat="1" applyFont="1" applyFill="1" applyBorder="0" applyAlignment="1">
      <x:alignment horizontal="center" vertical="top" wrapText="1"/>
    </x:xf>
    <x:xf numFmtId="0" fontId="18" fillId="58" xfId="0" applyNumberFormat="1" applyFont="1" applyFill="1" applyBorder="0" applyAlignment="1">
      <x:alignment horizontal="center" vertical="top" wrapText="1"/>
    </x:xf>
    <x:xf numFmtId="0" fontId="5" fillId="58" xfId="0" applyNumberFormat="1" applyFont="1" applyFill="1" applyBorder="0" applyAlignment="1">
      <x:alignment horizontal="center" vertical="center" wrapText="1"/>
    </x:xf>
    <x:xf numFmtId="0" fontId="15" fillId="58" borderId="255" xfId="0" applyNumberFormat="1" applyFont="1" applyFill="1" applyBorder="1" applyAlignment="1">
      <x:alignment horizontal="center" vertical="top" wrapText="1"/>
    </x:xf>
    <x:xf numFmtId="0" fontId="18" fillId="58" borderId="255" xfId="0" applyNumberFormat="1" applyFont="1" applyFill="1" applyBorder="1" applyAlignment="1">
      <x:alignment horizontal="center" vertical="top" wrapText="1"/>
    </x:xf>
    <x:xf numFmtId="0" fontId="5" fillId="58" borderId="255" xfId="0" applyNumberFormat="1" applyFont="1" applyFill="1" applyBorder="1" applyAlignment="1">
      <x:alignment horizontal="center" vertical="center" wrapText="1"/>
    </x:xf>
    <x:xf numFmtId="0" fontId="19" fillId="59" borderId="250" xfId="0" applyNumberFormat="1" applyFont="1" applyFill="1" applyBorder="1" applyAlignment="1">
      <x:alignment horizontal="center" vertical="center" wrapText="1"/>
    </x:xf>
    <x:xf numFmtId="0" fontId="5" fillId="59" borderId="250" xfId="0" applyNumberFormat="1" applyFont="1" applyFill="1" applyBorder="1" applyAlignment="1">
      <x:alignment vertical="top" wrapText="1"/>
    </x:xf>
    <x:xf numFmtId="0" fontId="19" fillId="59" xfId="0" applyNumberFormat="1" applyFont="1" applyFill="1" applyBorder="0" applyAlignment="1">
      <x:alignment horizontal="center" vertical="center" wrapText="1"/>
    </x:xf>
    <x:xf numFmtId="0" fontId="5" fillId="59" xfId="0" applyNumberFormat="1" applyFont="1" applyFill="1" applyBorder="0" applyAlignment="1">
      <x:alignment vertical="top" wrapText="1"/>
    </x:xf>
    <x:xf numFmtId="0" fontId="19" fillId="59" borderId="255" xfId="0" applyNumberFormat="1" applyFont="1" applyFill="1" applyBorder="1" applyAlignment="1">
      <x:alignment horizontal="center" vertical="center" wrapText="1"/>
    </x:xf>
    <x:xf numFmtId="0" fontId="5" fillId="59" borderId="255" xfId="0" applyNumberFormat="1" applyFont="1" applyFill="1" applyBorder="1" applyAlignment="1">
      <x:alignment vertical="top" wrapText="1"/>
    </x:xf>
    <x:xf numFmtId="0" fontId="10" fillId="60" borderId="0" xfId="0" applyNumberFormat="1" applyFont="1" applyFill="1" applyBorder="1" applyAlignment="1">
      <x:alignment horizontal="center" vertical="center"/>
    </x:xf>
    <x:xf numFmtId="0" fontId="10" fillId="60" borderId="0" xfId="0" applyNumberFormat="1" applyFont="1" applyFill="1" applyBorder="1" applyAlignment="1">
      <x:alignment horizontal="center"/>
    </x:xf>
    <x:xf numFmtId="0" fontId="0" fillId="60" borderId="0" xfId="0" applyNumberFormat="1" applyFont="1" applyFill="1" applyBorder="1"/>
    <x:xf numFmtId="0" fontId="1" fillId="60" borderId="0" xfId="0" applyNumberFormat="1" applyFont="1" applyFill="1" applyBorder="1" applyAlignment="1">
      <x:alignment horizontal="center" vertical="center"/>
    </x:xf>
    <x:xf numFmtId="0" fontId="1" fillId="60" borderId="0" xfId="0" applyNumberFormat="1" applyFont="1" applyFill="1" applyBorder="1" applyAlignment="1">
      <x:alignment horizontal="center"/>
    </x:xf>
    <x:xf numFmtId="0" fontId="1" fillId="60" borderId="0" xfId="0" applyNumberFormat="1" applyFont="1" applyFill="1" applyBorder="1"/>
    <x:xf numFmtId="0" fontId="7" fillId="56" borderId="0" xfId="0" applyNumberFormat="1" applyFont="1" applyFill="1" applyBorder="1" applyAlignment="1">
      <x:alignment horizontal="center" vertical="center" wrapText="1"/>
    </x:xf>
    <x:xf numFmtId="0" fontId="0" fillId="56" borderId="0" xfId="0" applyNumberFormat="1" applyFont="1" applyFill="1" applyBorder="1"/>
    <x:xf numFmtId="0" fontId="7" fillId="56" borderId="0" xfId="0" applyNumberFormat="1" applyFont="1" applyFill="1" applyBorder="1"/>
    <x:xf numFmtId="0" fontId="7" fillId="56" borderId="0" xfId="0" applyNumberFormat="1" applyFont="1" applyFill="1" applyBorder="1" applyAlignment="1">
      <x:alignment wrapText="1"/>
    </x:xf>
    <x:xf numFmtId="0" fontId="7" fillId="56" borderId="0" xfId="0" applyNumberFormat="1" applyFont="1" applyFill="1" applyBorder="1" applyAlignment="1">
      <x:alignment horizontal="center" wrapText="1"/>
    </x:xf>
    <x:xf numFmtId="0" fontId="22" fillId="56" borderId="0" xfId="0" applyNumberFormat="1" applyFont="1" applyFill="1" applyBorder="1" applyAlignment="1">
      <x:alignment horizontal="center" vertical="center" wrapText="1"/>
    </x:xf>
    <x:xf numFmtId="0" fontId="22" fillId="56" borderId="0" xfId="0" applyNumberFormat="1" applyFont="1" applyFill="1" applyBorder="1" applyAlignment="1">
      <x:alignment horizontal="center" wrapText="1"/>
    </x:xf>
    <x:xf numFmtId="0" fontId="22" fillId="56" borderId="257" xfId="0" applyNumberFormat="1" applyFont="1" applyFill="1" applyBorder="1" applyAlignment="1">
      <x:alignment horizontal="center" vertical="center" wrapText="1"/>
    </x:xf>
    <x:xf numFmtId="0" fontId="22" fillId="56" borderId="258" xfId="0" applyNumberFormat="1" applyFont="1" applyFill="1" applyBorder="1" applyAlignment="1">
      <x:alignment horizontal="center" vertical="center" wrapText="1"/>
    </x:xf>
    <x:xf numFmtId="0" fontId="22" fillId="56" borderId="258" xfId="0" applyNumberFormat="1" applyFont="1" applyFill="1" applyBorder="1" applyAlignment="1">
      <x:alignment horizontal="center" wrapText="1"/>
    </x:xf>
    <x:xf numFmtId="0" fontId="22" fillId="56" borderId="259" xfId="0" applyNumberFormat="1" applyFont="1" applyFill="1" applyBorder="1" applyAlignment="1">
      <x:alignment horizontal="center" wrapText="1"/>
    </x:xf>
    <x:xf numFmtId="0" fontId="5" fillId="0" borderId="260" xfId="0" applyNumberFormat="1" applyFont="1" applyFill="1" applyBorder="1" applyAlignment="1">
      <x:alignment vertical="center" wrapText="1"/>
    </x:xf>
    <x:xf numFmtId="0" fontId="5" fillId="0" borderId="261" xfId="0" applyNumberFormat="1" applyFont="1" applyFill="1" applyBorder="1"/>
    <x:xf numFmtId="0" fontId="5" fillId="0" borderId="260" xfId="0" applyNumberFormat="1" applyFont="1" applyFill="1" applyBorder="1"/>
    <x:xf numFmtId="0" fontId="5" fillId="0" borderId="262" xfId="0" applyNumberFormat="1" applyFont="1" applyFill="1" applyBorder="1"/>
    <x:xf numFmtId="0" fontId="5" fillId="0" borderId="263" xfId="0" applyNumberFormat="1" applyFont="1" applyFill="1" applyBorder="1"/>
    <x:xf numFmtId="0" fontId="5" fillId="0" borderId="264" xfId="0" applyNumberFormat="1" applyFont="1" applyFill="1" applyBorder="1"/>
    <x:xf numFmtId="0" fontId="5" fillId="0" borderId="261" xfId="0" applyNumberFormat="1" applyFont="1" applyFill="1" applyBorder="1" applyAlignment="1">
      <x:alignment wrapText="1"/>
    </x:xf>
    <x:xf numFmtId="0" fontId="5" fillId="0" borderId="260" xfId="0" applyNumberFormat="1" applyFont="1" applyFill="1" applyBorder="1" applyAlignment="1">
      <x:alignment wrapText="1"/>
    </x:xf>
    <x:xf numFmtId="0" fontId="5" fillId="0" borderId="262" xfId="0" applyNumberFormat="1" applyFont="1" applyFill="1" applyBorder="1" applyAlignment="1">
      <x:alignment wrapText="1"/>
    </x:xf>
    <x:xf numFmtId="0" fontId="5" fillId="0" borderId="263" xfId="0" applyNumberFormat="1" applyFont="1" applyFill="1" applyBorder="1" applyAlignment="1">
      <x:alignment wrapText="1"/>
    </x:xf>
    <x:xf numFmtId="0" fontId="5" fillId="0" borderId="264" xfId="0" applyNumberFormat="1" applyFont="1" applyFill="1" applyBorder="1" applyAlignment="1">
      <x:alignment wrapText="1"/>
    </x:xf>
    <x:xf numFmtId="0" fontId="22" fillId="56" borderId="259" xfId="0" applyNumberFormat="1" applyFont="1" applyFill="1" applyBorder="1" applyAlignment="1">
      <x:alignment horizontal="center" vertical="center" wrapText="1"/>
    </x:xf>
    <x:xf numFmtId="0" fontId="5" fillId="0" borderId="261" xfId="0" applyNumberFormat="1" applyFont="1" applyFill="1" applyBorder="1" applyAlignment="1">
      <x:alignment vertical="center" wrapText="1"/>
    </x:xf>
    <x:xf numFmtId="0" fontId="5" fillId="0" borderId="262" xfId="0" applyNumberFormat="1" applyFont="1" applyFill="1" applyBorder="1" applyAlignment="1">
      <x:alignment vertical="center" wrapText="1"/>
    </x:xf>
    <x:xf numFmtId="0" fontId="5" fillId="0" borderId="263" xfId="0" applyNumberFormat="1" applyFont="1" applyFill="1" applyBorder="1" applyAlignment="1">
      <x:alignment vertical="center" wrapText="1"/>
    </x:xf>
    <x:xf numFmtId="0" fontId="5" fillId="0" borderId="264" xfId="0" applyNumberFormat="1" applyFont="1" applyFill="1" applyBorder="1" applyAlignment="1">
      <x:alignment vertical="center" wrapText="1"/>
    </x:xf>
    <x:xf numFmtId="0" fontId="10" fillId="60" borderId="0" xfId="0" applyNumberFormat="1" applyFont="1" applyFill="1" applyBorder="1"/>
    <x:xf numFmtId="0" fontId="22" fillId="56" borderId="257" xfId="0" applyNumberFormat="1" applyFont="1" applyFill="1" applyBorder="1" applyAlignment="1">
      <x:alignment horizontal="center" wrapText="1"/>
    </x:xf>
    <x:xf numFmtId="0" fontId="22" fillId="56" borderId="257" xfId="0" applyNumberFormat="1" applyFont="1" applyFill="1" applyBorder="1" applyAlignment="1">
      <x:alignment horizontal="center" vertical="top" wrapText="1"/>
    </x:xf>
    <x:xf numFmtId="0" fontId="22" fillId="56" borderId="258" xfId="0" applyNumberFormat="1" applyFont="1" applyFill="1" applyBorder="1" applyAlignment="1">
      <x:alignment horizontal="center" vertical="top" wrapText="1"/>
    </x:xf>
    <x:xf numFmtId="0" fontId="22" fillId="56" borderId="259" xfId="0" applyNumberFormat="1" applyFont="1" applyFill="1" applyBorder="1" applyAlignment="1">
      <x:alignment horizontal="center" vertical="top" wrapText="1"/>
    </x:xf>
    <x:xf numFmtId="0" fontId="5" fillId="0" borderId="260" xfId="0" applyNumberFormat="1" applyFont="1" applyFill="1" applyBorder="1" applyAlignment="1">
      <x:alignment vertical="top" wrapText="1"/>
    </x:xf>
    <x:xf numFmtId="0" fontId="5" fillId="0" borderId="261" xfId="0" applyNumberFormat="1" applyFont="1" applyFill="1" applyBorder="1" applyAlignment="1">
      <x:alignment vertical="top" wrapText="1"/>
    </x:xf>
    <x:xf numFmtId="0" fontId="5" fillId="0" borderId="262" xfId="0" applyNumberFormat="1" applyFont="1" applyFill="1" applyBorder="1" applyAlignment="1">
      <x:alignment vertical="top" wrapText="1"/>
    </x:xf>
    <x:xf numFmtId="0" fontId="5" fillId="0" borderId="263" xfId="0" applyNumberFormat="1" applyFont="1" applyFill="1" applyBorder="1" applyAlignment="1">
      <x:alignment vertical="top" wrapText="1"/>
    </x:xf>
    <x:xf numFmtId="0" fontId="5" fillId="0" borderId="264" xfId="0" applyNumberFormat="1" applyFont="1" applyFill="1" applyBorder="1" applyAlignment="1">
      <x:alignment vertical="top" wrapText="1"/>
    </x:xf>
    <x:xf numFmtId="0" fontId="0" fillId="0" borderId="257" xfId="0" applyNumberFormat="1" applyFont="1" applyFill="1" applyBorder="1" applyAlignment="1">
      <x:alignment vertical="center" wrapText="1"/>
    </x:xf>
    <x:xf numFmtId="0" fontId="0" fillId="0" borderId="258" xfId="0" applyNumberFormat="1" applyFont="1" applyFill="1" applyBorder="1" applyAlignment="1">
      <x:alignment vertical="center" wrapText="1"/>
    </x:xf>
    <x:xf numFmtId="0" fontId="0" fillId="0" borderId="259" xfId="0" applyNumberFormat="1" applyFont="1" applyFill="1" applyBorder="1" applyAlignment="1">
      <x:alignment vertical="center" wrapText="1"/>
    </x:xf>
    <x:xf numFmtId="0" fontId="0" fillId="0" borderId="260" xfId="0" applyNumberFormat="1" applyFont="1" applyFill="1" applyBorder="1" applyAlignment="1">
      <x:alignment vertical="center" wrapText="1"/>
    </x:xf>
    <x:xf numFmtId="0" fontId="0" fillId="0" borderId="261" xfId="0" applyNumberFormat="1" applyFont="1" applyFill="1" applyBorder="1" applyAlignment="1">
      <x:alignment vertical="center" wrapText="1"/>
    </x:xf>
    <x:xf numFmtId="0" fontId="0" fillId="0" borderId="262" xfId="0" applyNumberFormat="1" applyFont="1" applyFill="1" applyBorder="1" applyAlignment="1">
      <x:alignment vertical="center" wrapText="1"/>
    </x:xf>
    <x:xf numFmtId="0" fontId="0" fillId="0" borderId="263" xfId="0" applyNumberFormat="1" applyFont="1" applyFill="1" applyBorder="1" applyAlignment="1">
      <x:alignment vertical="center" wrapText="1"/>
    </x:xf>
    <x:xf numFmtId="0" fontId="0" fillId="0" borderId="264" xfId="0" applyNumberFormat="1" applyFont="1" applyFill="1" applyBorder="1" applyAlignment="1">
      <x:alignment vertical="center" wrapText="1"/>
    </x:xf>
    <x:xf numFmtId="0" fontId="7" fillId="56" borderId="0" xfId="0" applyNumberFormat="1" applyFont="1" applyFill="1" applyBorder="1" applyAlignment="1">
      <x:alignment horizontal="center"/>
    </x:xf>
    <x:xf numFmtId="0" fontId="5" fillId="0" borderId="249" xfId="0" applyNumberFormat="1" applyFont="1" applyFill="1" applyBorder="1" applyAlignment="1">
      <x:alignment vertical="center" wrapText="1"/>
    </x:xf>
    <x:xf numFmtId="0" fontId="5" fillId="0" borderId="250" xfId="0" applyNumberFormat="1" applyFont="1" applyFill="1" applyBorder="1" applyAlignment="1">
      <x:alignment vertical="center" wrapText="1"/>
    </x:xf>
    <x:xf numFmtId="0" fontId="5" fillId="0" borderId="251" xfId="0" applyNumberFormat="1" applyFont="1" applyFill="1" applyBorder="1" applyAlignment="1">
      <x:alignment vertical="center" wrapText="1"/>
    </x:xf>
    <x:xf numFmtId="0" fontId="5" fillId="0" borderId="252" xfId="0" applyNumberFormat="1" applyFont="1" applyFill="1" applyBorder="1" applyAlignment="1">
      <x:alignment vertical="center" wrapText="1"/>
    </x:xf>
    <x:xf numFmtId="0" fontId="5" fillId="0" borderId="253" xfId="0" applyNumberFormat="1" applyFont="1" applyFill="1" applyBorder="1" applyAlignment="1">
      <x:alignment vertical="center" wrapText="1"/>
    </x:xf>
    <x:xf numFmtId="0" fontId="5" fillId="0" borderId="254" xfId="0" applyNumberFormat="1" applyFont="1" applyFill="1" applyBorder="1" applyAlignment="1">
      <x:alignment vertical="center" wrapText="1"/>
    </x:xf>
    <x:xf numFmtId="0" fontId="5" fillId="0" borderId="255" xfId="0" applyNumberFormat="1" applyFont="1" applyFill="1" applyBorder="1" applyAlignment="1">
      <x:alignment vertical="center" wrapText="1"/>
    </x:xf>
    <x:xf numFmtId="0" fontId="5" fillId="0" borderId="256" xfId="0" applyNumberFormat="1" applyFont="1" applyFill="1" applyBorder="1" applyAlignment="1">
      <x:alignment vertical="center" wrapText="1"/>
    </x:xf>
    <x:xf numFmtId="0" fontId="5" fillId="0" borderId="257" xfId="0" applyNumberFormat="1" applyFont="1" applyFill="1" applyBorder="1" applyAlignment="1">
      <x:alignment vertical="center" wrapText="1"/>
    </x:xf>
    <x:xf numFmtId="0" fontId="5" fillId="0" borderId="258" xfId="0" applyNumberFormat="1" applyFont="1" applyFill="1" applyBorder="1" applyAlignment="1">
      <x:alignment vertical="center" wrapText="1"/>
    </x:xf>
    <x:xf numFmtId="0" fontId="5" fillId="24" borderId="259" xfId="0" applyNumberFormat="1" applyFont="1" applyFill="1" applyBorder="1" applyAlignment="1">
      <x:alignment vertical="center" wrapText="1"/>
    </x:xf>
    <x:xf numFmtId="0" fontId="5" fillId="24" borderId="261" xfId="0" applyNumberFormat="1" applyFont="1" applyFill="1" applyBorder="1" applyAlignment="1">
      <x:alignment vertical="center" wrapText="1"/>
    </x:xf>
    <x:xf numFmtId="0" fontId="20" fillId="24" borderId="261" xfId="0" applyNumberFormat="1" applyFont="1" applyFill="1" applyBorder="1" applyAlignment="1">
      <x:alignment vertical="center" wrapText="1"/>
    </x:xf>
    <x:xf numFmtId="0" fontId="0" fillId="61" borderId="0" xfId="0" applyNumberFormat="1" applyFont="1" applyFill="1" applyBorder="1"/>
    <x:xf numFmtId="0" fontId="0" fillId="61" borderId="265" xfId="0" applyNumberFormat="1" applyFont="1" applyFill="1" applyBorder="1"/>
    <x:xf numFmtId="0" fontId="0" fillId="61" borderId="266" xfId="0" applyNumberFormat="1" applyFont="1" applyFill="1" applyBorder="1"/>
    <x:xf numFmtId="0" fontId="0" fillId="61" borderId="267" xfId="0" applyNumberFormat="1" applyFont="1" applyFill="1" applyBorder="1"/>
    <x:xf numFmtId="0" fontId="0" fillId="61" borderId="268" xfId="0" applyNumberFormat="1" applyFont="1" applyFill="1" applyBorder="1"/>
    <x:xf numFmtId="0" fontId="0" fillId="61" borderId="269" xfId="0" applyNumberFormat="1" applyFont="1" applyFill="1" applyBorder="1"/>
    <x:xf numFmtId="0" fontId="0" fillId="61" borderId="270" xfId="0" applyNumberFormat="1" applyFont="1" applyFill="1" applyBorder="1"/>
    <x:xf numFmtId="0" fontId="5" fillId="0" borderId="259" xfId="0" applyNumberFormat="1" applyFont="1" applyFill="1" applyBorder="1" applyAlignment="1">
      <x:alignment vertical="center" wrapText="1"/>
    </x:xf>
    <x:xf numFmtId="0" fontId="15" fillId="51" borderId="0" xfId="0" applyNumberFormat="1" applyFont="1" applyFill="1" applyBorder="1" applyAlignment="1">
      <x:alignment horizontal="center" vertical="top" wrapText="1"/>
    </x:xf>
    <x:xf numFmtId="0" fontId="5" fillId="52" borderId="0" xfId="0" applyNumberFormat="1" applyFont="1" applyFill="1" applyBorder="1" applyAlignment="1">
      <x:alignment horizontal="center" vertical="top" wrapText="1"/>
    </x:xf>
    <x:xf numFmtId="0" fontId="14" fillId="51" borderId="0" xfId="0" applyNumberFormat="1" applyFont="1" applyFill="1" applyBorder="1" applyAlignment="1">
      <x:alignment vertical="top" wrapText="1"/>
    </x:xf>
    <x:xf numFmtId="0" fontId="14" fillId="51" xfId="0" applyNumberFormat="1" applyFont="1" applyFill="1" applyBorder="0" applyAlignment="1">
      <x:alignment vertical="top" wrapText="1"/>
    </x:xf>
    <x:xf numFmtId="0" fontId="21" fillId="51" borderId="0" xfId="0" applyNumberFormat="1" applyFont="1" applyFill="1" applyBorder="1" applyAlignment="1">
      <x:alignment vertical="top" wrapText="1"/>
    </x:xf>
    <x:xf numFmtId="0" fontId="21" fillId="51" xfId="0" applyNumberFormat="1" applyFont="1" applyFill="1" applyBorder="0" applyAlignment="1">
      <x:alignment vertical="top" wrapText="1"/>
    </x:xf>
    <x:xf numFmtId="0" fontId="15" fillId="16" borderId="0" xfId="0" applyNumberFormat="1" applyFont="1" applyFill="1" applyBorder="1" applyAlignment="1">
      <x:alignment horizontal="center" vertical="top" wrapText="1"/>
    </x:xf>
    <x:xf numFmtId="0" fontId="18" fillId="16" borderId="0" xfId="0" applyNumberFormat="1" applyFont="1" applyFill="1" applyBorder="1" applyAlignment="1">
      <x:alignment horizontal="center" vertical="top" wrapText="1"/>
    </x:xf>
    <x:xf numFmtId="0" fontId="15" fillId="16" xfId="0" applyNumberFormat="1" applyFont="1" applyFill="1" applyBorder="0" applyAlignment="1">
      <x:alignment horizontal="center" vertical="top" wrapText="1"/>
    </x:xf>
    <x:xf numFmtId="0" fontId="18" fillId="16" xfId="0" applyNumberFormat="1" applyFont="1" applyFill="1" applyBorder="0" applyAlignment="1">
      <x:alignment horizontal="center" vertical="top" wrapText="1"/>
    </x:xf>
    <x:xf numFmtId="0" fontId="7" fillId="50" borderId="0" xfId="0" applyNumberFormat="1" applyFont="1" applyFill="1" applyBorder="1" applyAlignment="1">
      <x:alignment horizontal="center" vertical="center" wrapText="1"/>
    </x:xf>
    <x:xf numFmtId="0" fontId="22" fillId="50" borderId="0" xfId="0" applyNumberFormat="1" applyFont="1" applyFill="1" applyBorder="1" applyAlignment="1">
      <x:alignment horizontal="center" vertical="center" wrapText="1"/>
    </x:xf>
    <x:xf numFmtId="0" fontId="22" fillId="50" borderId="0" xfId="0" applyNumberFormat="1" applyFont="1" applyFill="1" applyBorder="1" applyAlignment="1">
      <x:alignment horizontal="center" wrapText="1"/>
    </x:xf>
    <x:xf numFmtId="0" fontId="22" fillId="50" borderId="0" xfId="0" applyNumberFormat="1" applyFont="1" applyFill="1" applyBorder="1" applyAlignment="1">
      <x:alignment horizontal="center" vertical="top" wrapText="1"/>
    </x:xf>
    <x:xf numFmtId="0" fontId="1" fillId="62" borderId="0" xfId="0" applyNumberFormat="1" applyFont="1" applyFill="1" applyBorder="1" applyAlignment="1">
      <x:alignment horizontal="center" vertical="center"/>
    </x:xf>
    <x:xf numFmtId="0" fontId="1" fillId="62" borderId="0" xfId="0" applyNumberFormat="1" applyFont="1" applyFill="1" applyBorder="1" applyAlignment="1">
      <x:alignment horizontal="center"/>
    </x:xf>
    <x:xf numFmtId="0" fontId="0" fillId="63" borderId="0" xfId="0" applyNumberFormat="1" applyFont="1" applyFill="1" applyBorder="1"/>
    <x:xf numFmtId="0" fontId="23" fillId="63" borderId="0" xfId="0" applyNumberFormat="1" applyFont="1" applyFill="1" applyBorder="1"/>
    <x:xf numFmtId="0" fontId="23" fillId="63" borderId="0" xfId="0" applyNumberFormat="1" applyFont="1" applyFill="1" applyBorder="1" applyAlignment="1">
      <x:alignment wrapText="1"/>
    </x:xf>
    <x:xf numFmtId="0" fontId="23" fillId="63" borderId="0" xfId="0" applyNumberFormat="1" applyFont="1" applyFill="1" applyBorder="1" applyAlignment="1">
      <x:alignment horizontal="left" wrapText="1"/>
    </x:xf>
    <x:xf numFmtId="0" fontId="23" fillId="63" borderId="0" xfId="0" applyNumberFormat="1" applyFont="1" applyFill="1" applyBorder="1" applyAlignment="1">
      <x:alignment horizontal="left" vertical="center" wrapText="1"/>
    </x:xf>
    <x:xf numFmtId="0" fontId="22" fillId="64" borderId="249" xfId="0" applyNumberFormat="1" applyFont="1" applyFill="1" applyBorder="1" applyAlignment="1">
      <x:alignment horizontal="center" vertical="center" wrapText="1"/>
    </x:xf>
    <x:xf numFmtId="0" fontId="22" fillId="64" borderId="250" xfId="0" applyNumberFormat="1" applyFont="1" applyFill="1" applyBorder="1" applyAlignment="1">
      <x:alignment horizontal="center" vertical="center" wrapText="1"/>
    </x:xf>
    <x:xf numFmtId="0" fontId="22" fillId="64" borderId="251" xfId="0" applyNumberFormat="1" applyFont="1" applyFill="1" applyBorder="1" applyAlignment="1">
      <x:alignment horizontal="center" vertical="center" wrapText="1"/>
    </x:xf>
    <x:xf numFmtId="0" fontId="22" fillId="64" borderId="0" xfId="0" applyNumberFormat="1" applyFont="1" applyFill="1" applyBorder="1" applyAlignment="1">
      <x:alignment horizontal="center" vertical="center" wrapText="1"/>
    </x:xf>
    <x:xf numFmtId="0" fontId="5" fillId="0" borderId="271" xfId="0" applyNumberFormat="1" applyFont="1" applyFill="1" applyBorder="1" applyAlignment="1">
      <x:alignment vertical="center" wrapText="1"/>
    </x:xf>
    <x:xf numFmtId="0" fontId="5" fillId="0" borderId="272" xfId="0" applyNumberFormat="1" applyFont="1" applyFill="1" applyBorder="1" applyAlignment="1">
      <x:alignment vertical="center" wrapText="1"/>
    </x:xf>
    <x:xf numFmtId="0" fontId="5" fillId="0" borderId="273" xfId="0" applyNumberFormat="1" applyFont="1" applyFill="1" applyBorder="1" applyAlignment="1">
      <x:alignment vertical="center" wrapText="1"/>
    </x:xf>
    <x:xf numFmtId="0" fontId="5" fillId="0" borderId="274" xfId="0" applyNumberFormat="1" applyFont="1" applyFill="1" applyBorder="1" applyAlignment="1">
      <x:alignment vertical="center" wrapText="1"/>
    </x:xf>
    <x:xf numFmtId="0" fontId="5" fillId="0" borderId="275" xfId="0" applyNumberFormat="1" applyFont="1" applyFill="1" applyBorder="1" applyAlignment="1">
      <x:alignment vertical="center" wrapText="1"/>
    </x:xf>
    <x:xf numFmtId="0" fontId="5" fillId="0" borderId="276" xfId="0" applyNumberFormat="1" applyFont="1" applyFill="1" applyBorder="1" applyAlignment="1">
      <x:alignment vertical="center" wrapText="1"/>
    </x:xf>
    <x:xf numFmtId="0" fontId="5" fillId="0" borderId="277" xfId="0" applyNumberFormat="1" applyFont="1" applyFill="1" applyBorder="1" applyAlignment="1">
      <x:alignment vertical="center" wrapText="1"/>
    </x:xf>
    <x:xf numFmtId="0" fontId="5" fillId="0" borderId="278" xfId="0" applyNumberFormat="1" applyFont="1" applyFill="1" applyBorder="1" applyAlignment="1">
      <x:alignment vertical="center" wrapText="1"/>
    </x:xf>
    <x:xf numFmtId="0" fontId="5" fillId="65" borderId="271" xfId="0" applyNumberFormat="1" applyFont="1" applyFill="1" applyBorder="1" applyAlignment="1">
      <x:alignment vertical="center" wrapText="1"/>
    </x:xf>
    <x:xf numFmtId="0" fontId="5" fillId="65" borderId="272" xfId="0" applyNumberFormat="1" applyFont="1" applyFill="1" applyBorder="1" applyAlignment="1">
      <x:alignment vertical="center" wrapText="1"/>
    </x:xf>
    <x:xf numFmtId="0" fontId="5" fillId="65" borderId="273" xfId="0" applyNumberFormat="1" applyFont="1" applyFill="1" applyBorder="1" applyAlignment="1">
      <x:alignment vertical="center" wrapText="1"/>
    </x:xf>
    <x:xf numFmtId="0" fontId="23" fillId="65" borderId="271" xfId="0" applyNumberFormat="1" applyFont="1" applyFill="1" applyBorder="1" applyAlignment="1">
      <x:alignment vertical="center" wrapText="1"/>
    </x:xf>
    <x:xf numFmtId="0" fontId="23" fillId="65" borderId="272" xfId="0" applyNumberFormat="1" applyFont="1" applyFill="1" applyBorder="1" applyAlignment="1">
      <x:alignment vertical="center" wrapText="1"/>
    </x:xf>
    <x:xf numFmtId="0" fontId="23" fillId="65" borderId="273" xfId="0" applyNumberFormat="1" applyFont="1" applyFill="1" applyBorder="1" applyAlignment="1">
      <x:alignment vertical="center" wrapText="1"/>
    </x:xf>
    <x:xf numFmtId="0" fontId="23" fillId="65" borderId="279" xfId="0" applyNumberFormat="1" applyFont="1" applyFill="1" applyBorder="1" applyAlignment="1">
      <x:alignment vertical="center" wrapText="1"/>
    </x:xf>
    <x:xf numFmtId="0" fontId="23" fillId="65" borderId="280" xfId="0" applyNumberFormat="1" applyFont="1" applyFill="1" applyBorder="1" applyAlignment="1">
      <x:alignment vertical="center" wrapText="1"/>
    </x:xf>
    <x:xf numFmtId="0" fontId="23" fillId="65" borderId="281" xfId="0" applyNumberFormat="1" applyFont="1" applyFill="1" applyBorder="1" applyAlignment="1">
      <x:alignment vertical="center" wrapText="1"/>
    </x:xf>
    <x:xf numFmtId="0" fontId="5" fillId="65" borderId="0" xfId="0" applyNumberFormat="1" applyFont="1" applyFill="1" applyBorder="1" applyAlignment="1">
      <x:alignment vertical="center" wrapText="1"/>
    </x:xf>
    <x:xf numFmtId="0" fontId="23" fillId="65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horizontal="center" vertical="center"/>
    </x:xf>
    <x:xf numFmtId="0" fontId="23" fillId="67" borderId="0" xfId="0" applyNumberFormat="1" applyFont="1" applyFill="1" applyBorder="1" applyAlignment="1">
      <x:alignment horizontal="left" vertical="center" wrapText="1"/>
    </x:xf>
    <x:xf numFmtId="0" fontId="22" fillId="68" borderId="0" xfId="0" applyNumberFormat="1" applyFont="1" applyFill="1" applyBorder="1" applyAlignment="1">
      <x:alignment horizontal="center" vertical="center" wrapText="1"/>
    </x:xf>
    <x:xf numFmtId="0" fontId="24" fillId="65" borderId="279" xfId="0" applyNumberFormat="1" applyFont="1" applyFill="1" applyBorder="1" applyAlignment="1">
      <x:alignment vertical="center" wrapText="1"/>
    </x:xf>
    <x:xf numFmtId="0" fontId="24" fillId="65" borderId="280" xfId="0" applyNumberFormat="1" applyFont="1" applyFill="1" applyBorder="1" applyAlignment="1">
      <x:alignment vertical="center" wrapText="1"/>
    </x:xf>
    <x:xf numFmtId="0" fontId="24" fillId="65" borderId="281" xfId="0" applyNumberFormat="1" applyFont="1" applyFill="1" applyBorder="1" applyAlignment="1">
      <x:alignment vertical="center" wrapText="1"/>
    </x:xf>
    <x:xf numFmtId="0" fontId="24" fillId="65" borderId="282" xfId="0" applyNumberFormat="1" applyFont="1" applyFill="1" applyBorder="1" applyAlignment="1">
      <x:alignment vertical="center" wrapText="1"/>
    </x:xf>
    <x:xf numFmtId="0" fontId="24" fillId="65" borderId="283" xfId="0" applyNumberFormat="1" applyFont="1" applyFill="1" applyBorder="1" applyAlignment="1">
      <x:alignment vertical="center" wrapText="1"/>
    </x:xf>
    <x:xf numFmtId="0" fontId="24" fillId="65" borderId="284" xfId="0" applyNumberFormat="1" applyFont="1" applyFill="1" applyBorder="1" applyAlignment="1">
      <x:alignment vertical="center" wrapText="1"/>
    </x:xf>
    <x:xf numFmtId="0" fontId="5" fillId="0" borderId="285" xfId="0" applyNumberFormat="1" applyFont="1" applyFill="1" applyBorder="1" applyAlignment="1">
      <x:alignment vertical="center" wrapText="1"/>
    </x:xf>
    <x:xf numFmtId="0" fontId="5" fillId="0" borderId="286" xfId="0" applyNumberFormat="1" applyFont="1" applyFill="1" applyBorder="1" applyAlignment="1">
      <x:alignment vertical="center" wrapText="1"/>
    </x:xf>
    <x:xf numFmtId="0" fontId="5" fillId="0" borderId="287" xfId="0" applyNumberFormat="1" applyFont="1" applyFill="1" applyBorder="1" applyAlignment="1">
      <x:alignment vertical="center" wrapText="1"/>
    </x:xf>
    <x:xf numFmtId="0" fontId="5" fillId="0" borderId="288" xfId="0" applyNumberFormat="1" applyFont="1" applyFill="1" applyBorder="1" applyAlignment="1">
      <x:alignment vertical="center" wrapText="1"/>
    </x:xf>
    <x:xf numFmtId="0" fontId="5" fillId="0" borderId="285" xfId="0" applyNumberFormat="1" applyFont="1" applyFill="1" applyBorder="1"/>
    <x:xf numFmtId="0" fontId="5" fillId="0" borderId="286" xfId="0" applyNumberFormat="1" applyFont="1" applyFill="1" applyBorder="1"/>
    <x:xf numFmtId="0" fontId="5" fillId="0" borderId="289" xfId="0" applyNumberFormat="1" applyFont="1" applyFill="1" applyBorder="1"/>
    <x:xf numFmtId="0" fontId="5" fillId="0" borderId="290" xfId="0" applyNumberFormat="1" applyFont="1" applyFill="1" applyBorder="1"/>
    <x:xf numFmtId="0" fontId="5" fillId="0" borderId="291" xfId="0" applyNumberFormat="1" applyFont="1" applyFill="1" applyBorder="1"/>
    <x:xf numFmtId="0" fontId="5" fillId="0" borderId="285" xfId="0" applyNumberFormat="1" applyFont="1" applyFill="1" applyBorder="1" applyAlignment="1">
      <x:alignment wrapText="1"/>
    </x:xf>
    <x:xf numFmtId="0" fontId="5" fillId="0" borderId="286" xfId="0" applyNumberFormat="1" applyFont="1" applyFill="1" applyBorder="1" applyAlignment="1">
      <x:alignment wrapText="1"/>
    </x:xf>
    <x:xf numFmtId="0" fontId="5" fillId="0" borderId="289" xfId="0" applyNumberFormat="1" applyFont="1" applyFill="1" applyBorder="1" applyAlignment="1">
      <x:alignment wrapText="1"/>
    </x:xf>
    <x:xf numFmtId="0" fontId="5" fillId="0" borderId="290" xfId="0" applyNumberFormat="1" applyFont="1" applyFill="1" applyBorder="1" applyAlignment="1">
      <x:alignment wrapText="1"/>
    </x:xf>
    <x:xf numFmtId="0" fontId="5" fillId="0" borderId="291" xfId="0" applyNumberFormat="1" applyFont="1" applyFill="1" applyBorder="1" applyAlignment="1">
      <x:alignment wrapText="1"/>
    </x:xf>
    <x:xf numFmtId="0" fontId="5" fillId="0" borderId="289" xfId="0" applyNumberFormat="1" applyFont="1" applyFill="1" applyBorder="1" applyAlignment="1">
      <x:alignment vertical="center" wrapText="1"/>
    </x:xf>
    <x:xf numFmtId="0" fontId="5" fillId="0" borderId="290" xfId="0" applyNumberFormat="1" applyFont="1" applyFill="1" applyBorder="1" applyAlignment="1">
      <x:alignment vertical="center" wrapText="1"/>
    </x:xf>
    <x:xf numFmtId="0" fontId="5" fillId="0" borderId="291" xfId="0" applyNumberFormat="1" applyFont="1" applyFill="1" applyBorder="1" applyAlignment="1">
      <x:alignment vertical="center" wrapText="1"/>
    </x:xf>
    <x:xf numFmtId="0" fontId="24" fillId="65" borderId="0" xfId="0" applyNumberFormat="1" applyFont="1" applyFill="1" applyBorder="1" applyAlignment="1">
      <x:alignment vertical="center" wrapText="1"/>
    </x:xf>
    <x:xf numFmtId="0" fontId="24" fillId="65" borderId="292" xfId="0" applyNumberFormat="1" applyFont="1" applyFill="1" applyBorder="1" applyAlignment="1">
      <x:alignment vertical="center" wrapText="1"/>
    </x:xf>
    <x:xf numFmtId="0" fontId="24" fillId="65" borderId="293" xfId="0" applyNumberFormat="1" applyFont="1" applyFill="1" applyBorder="1" applyAlignment="1">
      <x:alignment vertical="center" wrapText="1"/>
    </x:xf>
    <x:xf numFmtId="0" fontId="24" fillId="65" borderId="294" xfId="0" applyNumberFormat="1" applyFont="1" applyFill="1" applyBorder="1" applyAlignment="1">
      <x:alignment vertical="center" wrapText="1"/>
    </x:xf>
    <x:xf numFmtId="0" fontId="24" fillId="69" borderId="282" xfId="0" applyNumberFormat="1" applyFont="1" applyFill="1" applyBorder="1" applyAlignment="1">
      <x:alignment vertical="center" wrapText="1"/>
    </x:xf>
    <x:xf numFmtId="0" fontId="24" fillId="69" borderId="283" xfId="0" applyNumberFormat="1" applyFont="1" applyFill="1" applyBorder="1" applyAlignment="1">
      <x:alignment vertical="center" wrapText="1"/>
    </x:xf>
    <x:xf numFmtId="0" fontId="24" fillId="69" borderId="284" xfId="0" applyNumberFormat="1" applyFont="1" applyFill="1" applyBorder="1" applyAlignment="1">
      <x:alignment vertical="center" wrapText="1"/>
    </x:xf>
    <x:xf numFmtId="0" fontId="5" fillId="69" borderId="285" xfId="0" applyNumberFormat="1" applyFont="1" applyFill="1" applyBorder="1" applyAlignment="1">
      <x:alignment vertical="center" wrapText="1"/>
    </x:xf>
    <x:xf numFmtId="0" fontId="5" fillId="69" xfId="0" applyNumberFormat="1" applyFont="1" applyFill="1" applyBorder="0" applyAlignment="1">
      <x:alignment vertical="center" wrapText="1"/>
    </x:xf>
    <x:xf numFmtId="0" fontId="5" fillId="69" borderId="286" xfId="0" applyNumberFormat="1" applyFont="1" applyFill="1" applyBorder="1" applyAlignment="1">
      <x:alignment vertical="center" wrapText="1"/>
    </x:xf>
    <x:xf numFmtId="0" fontId="24" fillId="69" borderId="292" xfId="0" applyNumberFormat="1" applyFont="1" applyFill="1" applyBorder="1" applyAlignment="1">
      <x:alignment vertical="center" wrapText="1"/>
    </x:xf>
    <x:xf numFmtId="0" fontId="24" fillId="69" borderId="293" xfId="0" applyNumberFormat="1" applyFont="1" applyFill="1" applyBorder="1" applyAlignment="1">
      <x:alignment vertical="center" wrapText="1"/>
    </x:xf>
    <x:xf numFmtId="0" fontId="24" fillId="69" borderId="294" xfId="0" applyNumberFormat="1" applyFont="1" applyFill="1" applyBorder="1" applyAlignment="1">
      <x:alignment vertical="center" wrapText="1"/>
    </x:xf>
    <x:xf numFmtId="0" fontId="24" fillId="69" borderId="285" xfId="0" applyNumberFormat="1" applyFont="1" applyFill="1" applyBorder="1" applyAlignment="1">
      <x:alignment vertical="center" wrapText="1"/>
    </x:xf>
    <x:xf numFmtId="0" fontId="24" fillId="69" xfId="0" applyNumberFormat="1" applyFont="1" applyFill="1" applyBorder="0" applyAlignment="1">
      <x:alignment vertical="center" wrapText="1"/>
    </x:xf>
    <x:xf numFmtId="0" fontId="24" fillId="69" borderId="286" xfId="0" applyNumberFormat="1" applyFont="1" applyFill="1" applyBorder="1" applyAlignment="1">
      <x:alignment vertical="center" wrapText="1"/>
    </x:xf>
    <x:xf numFmtId="0" fontId="24" fillId="69" borderId="295" xfId="0" applyNumberFormat="1" applyFont="1" applyFill="1" applyBorder="1" applyAlignment="1">
      <x:alignment vertical="center" wrapText="1"/>
    </x:xf>
    <x:xf numFmtId="0" fontId="24" fillId="69" borderId="296" xfId="0" applyNumberFormat="1" applyFont="1" applyFill="1" applyBorder="1" applyAlignment="1">
      <x:alignment vertical="center" wrapText="1"/>
    </x:xf>
    <x:xf numFmtId="0" fontId="24" fillId="69" borderId="297" xfId="0" applyNumberFormat="1" applyFont="1" applyFill="1" applyBorder="1" applyAlignment="1">
      <x:alignment vertical="center" wrapText="1"/>
    </x:xf>
    <x:xf numFmtId="0" fontId="24" fillId="69" borderId="298" xfId="0" applyNumberFormat="1" applyFont="1" applyFill="1" applyBorder="1" applyAlignment="1">
      <x:alignment vertical="center" wrapText="1"/>
    </x:xf>
    <x:xf numFmtId="0" fontId="24" fillId="69" borderId="299" xfId="0" applyNumberFormat="1" applyFont="1" applyFill="1" applyBorder="1" applyAlignment="1">
      <x:alignment vertical="center" wrapText="1"/>
    </x:xf>
    <x:xf numFmtId="0" fontId="24" fillId="69" borderId="300" xfId="0" applyNumberFormat="1" applyFont="1" applyFill="1" applyBorder="1" applyAlignment="1">
      <x:alignment vertical="center" wrapText="1"/>
    </x:xf>
    <x:xf numFmtId="0" fontId="24" fillId="69" borderId="301" xfId="0" applyNumberFormat="1" applyFont="1" applyFill="1" applyBorder="1" applyAlignment="1">
      <x:alignment vertical="center" wrapText="1"/>
    </x:xf>
    <x:xf numFmtId="0" fontId="24" fillId="69" borderId="302" xfId="0" applyNumberFormat="1" applyFont="1" applyFill="1" applyBorder="1" applyAlignment="1">
      <x:alignment vertical="center" wrapText="1"/>
    </x:xf>
    <x:xf numFmtId="0" fontId="24" fillId="69" borderId="303" xfId="0" applyNumberFormat="1" applyFont="1" applyFill="1" applyBorder="1" applyAlignment="1">
      <x:alignment vertical="center" wrapText="1"/>
    </x:xf>
    <x:xf numFmtId="0" fontId="24" fillId="69" borderId="304" xfId="0" applyNumberFormat="1" applyFont="1" applyFill="1" applyBorder="1" applyAlignment="1">
      <x:alignment vertical="center" wrapText="1"/>
    </x:xf>
    <x:xf numFmtId="0" fontId="24" fillId="69" borderId="305" xfId="0" applyNumberFormat="1" applyFont="1" applyFill="1" applyBorder="1" applyAlignment="1">
      <x:alignment vertical="center" wrapText="1"/>
    </x:xf>
    <x:xf numFmtId="0" fontId="22" fillId="50" borderId="292" xfId="0" applyNumberFormat="1" applyFont="1" applyFill="1" applyBorder="1" applyAlignment="1">
      <x:alignment horizontal="center" vertical="top" wrapText="1"/>
    </x:xf>
    <x:xf numFmtId="0" fontId="22" fillId="50" borderId="293" xfId="0" applyNumberFormat="1" applyFont="1" applyFill="1" applyBorder="1" applyAlignment="1">
      <x:alignment horizontal="center" vertical="top" wrapText="1"/>
    </x:xf>
    <x:xf numFmtId="0" fontId="22" fillId="50" borderId="294" xfId="0" applyNumberFormat="1" applyFont="1" applyFill="1" applyBorder="1" applyAlignment="1">
      <x:alignment horizontal="center" vertical="top" wrapText="1"/>
    </x:xf>
    <x:xf numFmtId="0" fontId="5" fillId="0" borderId="285" xfId="0" applyNumberFormat="1" applyFont="1" applyFill="1" applyBorder="1" applyAlignment="1">
      <x:alignment vertical="top" wrapText="1"/>
    </x:xf>
    <x:xf numFmtId="0" fontId="5" fillId="0" borderId="286" xfId="0" applyNumberFormat="1" applyFont="1" applyFill="1" applyBorder="1" applyAlignment="1">
      <x:alignment vertical="top" wrapText="1"/>
    </x:xf>
    <x:xf numFmtId="0" fontId="5" fillId="0" borderId="289" xfId="0" applyNumberFormat="1" applyFont="1" applyFill="1" applyBorder="1" applyAlignment="1">
      <x:alignment vertical="top" wrapText="1"/>
    </x:xf>
    <x:xf numFmtId="0" fontId="5" fillId="0" borderId="290" xfId="0" applyNumberFormat="1" applyFont="1" applyFill="1" applyBorder="1" applyAlignment="1">
      <x:alignment vertical="top" wrapText="1"/>
    </x:xf>
    <x:xf numFmtId="0" fontId="5" fillId="0" borderId="291" xfId="0" applyNumberFormat="1" applyFont="1" applyFill="1" applyBorder="1" applyAlignment="1">
      <x:alignment vertical="top" wrapText="1"/>
    </x:xf>
    <x:xf numFmtId="0" fontId="0" fillId="66" borderId="0" xfId="0" applyNumberFormat="1" applyFont="1" applyFill="1" applyBorder="1"/>
    <x:xf numFmtId="0" fontId="1" fillId="66" borderId="0" xfId="0" applyNumberFormat="1" applyFont="1" applyFill="1" applyBorder="1"/>
    <x:xf numFmtId="0" fontId="1" fillId="66" borderId="0" xfId="0" applyNumberFormat="1" applyFont="1" applyFill="1" applyBorder="1" applyAlignment="1">
      <x:alignment horizontal="center"/>
    </x:xf>
    <x:xf numFmtId="0" fontId="0" fillId="68" borderId="0" xfId="0" applyNumberFormat="1" applyFont="1" applyFill="1" applyBorder="1"/>
    <x:xf numFmtId="0" fontId="7" fillId="68" borderId="0" xfId="0" applyNumberFormat="1" applyFont="1" applyFill="1" applyBorder="1"/>
    <x:xf numFmtId="0" fontId="7" fillId="68" borderId="0" xfId="0" applyNumberFormat="1" applyFont="1" applyFill="1" applyBorder="1" applyAlignment="1">
      <x:alignment wrapText="1"/>
    </x:xf>
    <x:xf numFmtId="0" fontId="7" fillId="68" borderId="0" xfId="0" applyNumberFormat="1" applyFont="1" applyFill="1" applyBorder="1" applyAlignment="1">
      <x:alignment horizontal="center" wrapText="1"/>
    </x:xf>
    <x:xf numFmtId="0" fontId="22" fillId="68" borderId="0" xfId="0" applyNumberFormat="1" applyFont="1" applyFill="1" applyBorder="1" applyAlignment="1">
      <x:alignment horizontal="center" wrapText="1"/>
    </x:xf>
    <x:xf numFmtId="0" fontId="22" fillId="68" borderId="292" xfId="0" applyNumberFormat="1" applyFont="1" applyFill="1" applyBorder="1" applyAlignment="1">
      <x:alignment horizontal="center" wrapText="1"/>
    </x:xf>
    <x:xf numFmtId="0" fontId="22" fillId="68" borderId="293" xfId="0" applyNumberFormat="1" applyFont="1" applyFill="1" applyBorder="1" applyAlignment="1">
      <x:alignment horizontal="center" wrapText="1"/>
    </x:xf>
    <x:xf numFmtId="0" fontId="22" fillId="68" borderId="294" xfId="0" applyNumberFormat="1" applyFont="1" applyFill="1" applyBorder="1" applyAlignment="1">
      <x:alignment horizontal="center" wrapText="1"/>
    </x:xf>
    <x:xf numFmtId="0" fontId="22" fillId="68" borderId="292" xfId="0" applyNumberFormat="1" applyFont="1" applyFill="1" applyBorder="1" applyAlignment="1">
      <x:alignment horizontal="center" vertical="top" wrapText="1"/>
    </x:xf>
    <x:xf numFmtId="0" fontId="22" fillId="68" borderId="293" xfId="0" applyNumberFormat="1" applyFont="1" applyFill="1" applyBorder="1" applyAlignment="1">
      <x:alignment horizontal="center" vertical="top" wrapText="1"/>
    </x:xf>
    <x:xf numFmtId="0" fontId="22" fillId="68" borderId="294" xfId="0" applyNumberFormat="1" applyFont="1" applyFill="1" applyBorder="1" applyAlignment="1">
      <x:alignment horizontal="center" vertical="top" wrapText="1"/>
    </x:xf>
    <x:xf numFmtId="0" fontId="10" fillId="66" borderId="0" xfId="0" applyNumberFormat="1" applyFont="1" applyFill="1" applyBorder="1" applyAlignment="1">
      <x:alignment horizontal="center" vertical="center"/>
    </x:xf>
    <x:xf numFmtId="0" fontId="10" fillId="66" borderId="0" xfId="0" applyNumberFormat="1" applyFont="1" applyFill="1" applyBorder="1" applyAlignment="1">
      <x:alignment horizontal="center"/>
    </x:xf>
    <x:xf numFmtId="0" fontId="5" fillId="0" borderId="292" xfId="0" applyNumberFormat="1" applyFont="1" applyFill="1" applyBorder="1" applyAlignment="1">
      <x:alignment vertical="center" wrapText="1"/>
    </x:xf>
    <x:xf numFmtId="0" fontId="5" fillId="0" borderId="293" xfId="0" applyNumberFormat="1" applyFont="1" applyFill="1" applyBorder="1" applyAlignment="1">
      <x:alignment vertical="center" wrapText="1"/>
    </x:xf>
    <x:xf numFmtId="0" fontId="5" fillId="0" borderId="29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5"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BE185D"/>
      </x:font>
      <x:fill>
        <x:patternFill>
          <x:bgColor rgb="FFFCE7F3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36217e257419b" /><Relationship Type="http://schemas.openxmlformats.org/officeDocument/2006/relationships/theme" Target="/xl/theme/theme1.xml" Id="R473d713ca1fc40b0" /><Relationship Type="http://schemas.openxmlformats.org/officeDocument/2006/relationships/sharedStrings" Target="/xl/sharedStrings.xml" Id="Rebc4b29cce04410e" /><Relationship Type="http://schemas.openxmlformats.org/officeDocument/2006/relationships/worksheet" Target="/xl/worksheets/sheet1.xml" Id="R5df4010b951943b5" /><Relationship Type="http://schemas.openxmlformats.org/officeDocument/2006/relationships/worksheet" Target="/xl/worksheets/sheet2.xml" Id="R437f5978bebb44eb" /><Relationship Type="http://schemas.openxmlformats.org/officeDocument/2006/relationships/worksheet" Target="/xl/worksheets/sheet3.xml" Id="R7576ff16d2a4470a" /><Relationship Type="http://schemas.openxmlformats.org/officeDocument/2006/relationships/worksheet" Target="/xl/worksheets/sheet4.xml" Id="R75e59330df424f04" /><Relationship Type="http://schemas.openxmlformats.org/officeDocument/2006/relationships/worksheet" Target="/xl/worksheets/sheet5.xml" Id="Re7c373f1d48946be" /><Relationship Type="http://schemas.openxmlformats.org/officeDocument/2006/relationships/worksheet" Target="/xl/worksheets/sheet6.xml" Id="R0425122f5ab442d0" /><Relationship Type="http://schemas.openxmlformats.org/officeDocument/2006/relationships/worksheet" Target="/xl/worksheets/sheet7.xml" Id="R3ba493a4536f4fd9" /><Relationship Type="http://schemas.openxmlformats.org/officeDocument/2006/relationships/worksheet" Target="/xl/worksheets/sheet8.xml" Id="R44b16d7069994816" /><Relationship Type="http://schemas.openxmlformats.org/officeDocument/2006/relationships/worksheet" Target="/xl/worksheets/sheet9.xml" Id="R357c4397134b417a" /><Relationship Type="http://schemas.openxmlformats.org/officeDocument/2006/relationships/worksheet" Target="/xl/worksheets/sheet10.xml" Id="R6a369dbf4e874428" /><Relationship Type="http://schemas.openxmlformats.org/officeDocument/2006/relationships/worksheet" Target="/xl/worksheets/sheet11.xml" Id="R3cf779ea2fde4321" /></Relationships>
</file>

<file path=xl/tables/table1.xml><?xml version="1.0" encoding="utf-8"?>
<x:table xmlns:x="http://schemas.openxmlformats.org/spreadsheetml/2006/main" id="24" name="SasukeRecognizablePanelNamesTable" displayName="SasukeRecognizablePanelNamesTable" ref="A4:AG93" headerRowCount="1">
  <x:tableColumns count="33">
    <x:tableColumn id="1" name="序号"/>
    <x:tableColumn id="2" name="卡池类型"/>
    <x:tableColumn id="3" name="卡牌中文名称（工作译名）"/>
    <x:tableColumn id="4" name="card_id（候选）"/>
    <x:tableColumn id="5" name="卡牌英文名称"/>
    <x:tableColumn id="6" name="卡牌稀有度"/>
    <x:tableColumn id="7" name="卡牌费用（基础→升级）"/>
    <x:tableColumn id="8" name="卡牌类型"/>
    <x:tableColumn id="9" name="基础效果"/>
    <x:tableColumn id="10" name="升级效果"/>
    <x:tableColumn id="11" name="关键词"/>
    <x:tableColumn id="12" name="卡牌详细字段"/>
    <x:tableColumn id="13" name="稀有度变更次数"/>
    <x:tableColumn id="14" name="稀有度变更历史"/>
    <x:tableColumn id="15" name="最终卡牌名称（面板）"/>
    <x:tableColumn id="16" name="依据的限定时期真实招式/能力"/>
    <x:tableColumn id="17" name="命名来源"/>
    <x:tableColumn id="18" name="真实招式目录状态"/>
    <x:tableColumn id="19" name="招式强度档位"/>
    <x:tableColumn id="20" name="限定时期实际使用说明"/>
    <x:tableColumn id="21" name="写轮眼—易伤联动类型"/>
    <x:tableColumn id="22" name="写轮眼动画规则"/>
    <x:tableColumn id="23" name="推荐理由与卡牌联动"/>
    <x:tableColumn id="24" name="强度匹配说明"/>
    <x:tableColumn id="25" name="正式原文/英文名"/>
    <x:tableColumn id="26" name="出典类型"/>
    <x:tableColumn id="27" name="真实性/命名说明"/>
    <x:tableColumn id="28" name="招式证据URL"/>
    <x:tableColumn id="29" name="是否会造成阶段转化"/>
    <x:tableColumn id="30" name="由哪个阶段转化为哪个"/>
    <x:tableColumn id="31" name="card_id核验状态"/>
    <x:tableColumn id="32" name="当前卡牌数据来源URL"/>
    <x:tableColumn id="33" name="稀有度历史来源URL"/>
  </x:tableColumns>
  <x:tableStyleInfo name="TableStyleMedium2" showRowStripes="1"/>
</x:table>
</file>

<file path=xl/tables/table2.xml><?xml version="1.0" encoding="utf-8"?>
<x:table xmlns:x="http://schemas.openxmlformats.org/spreadsheetml/2006/main" id="2" name="IroncladRarityHistoryTable" displayName="IroncladRarityHistoryTable" ref="A3:H8" headerRowCount="1">
  <x:tableColumns count="8">
    <x:tableColumn id="1" name="英文名称"/>
    <x:tableColumn id="2" name="card_id（候选）"/>
    <x:tableColumn id="3" name="变更次数"/>
    <x:tableColumn id="4" name="原稀有度"/>
    <x:tableColumn id="5" name="当前稀有度"/>
    <x:tableColumn id="6" name="补丁版本"/>
    <x:tableColumn id="7" name="变更说明"/>
    <x:tableColumn id="8" name="来源URL"/>
  </x:tableColumns>
  <x:tableStyleInfo name="TableStyleMedium2" showRowStripes="1"/>
</x:table>
</file>

<file path=xl/tables/table3.xml><?xml version="1.0" encoding="utf-8"?>
<x:table xmlns:x="http://schemas.openxmlformats.org/spreadsheetml/2006/main" id="30" name="WebAuditedLimitedPeriodJutsuCatalog" displayName="WebAuditedLimitedPeriodJutsuCatalog" ref="A3:J34" headerRowCount="1">
  <x:tableColumns count="10">
    <x:tableColumn id="1" name="正式中文名"/>
    <x:tableColumn id="2" name="正式原文/英文名"/>
    <x:tableColumn id="3" name="出典类型"/>
    <x:tableColumn id="4" name="限定时期实际使用说明"/>
    <x:tableColumn id="5" name="目录状态"/>
    <x:tableColumn id="6" name="当前映射卡牌"/>
    <x:tableColumn id="7" name="映射数量"/>
    <x:tableColumn id="8" name="上一版是否遗漏"/>
    <x:tableColumn id="9" name="证据URL"/>
    <x:tableColumn id="10" name="审核结论"/>
  </x:tableColumns>
  <x:tableStyleInfo name="TableStyleMedium2" showRowStripes="1"/>
</x:table>
</file>

<file path=xl/tables/table4.xml><?xml version="1.0" encoding="utf-8"?>
<x:table xmlns:x="http://schemas.openxmlformats.org/spreadsheetml/2006/main" id="34" name="WebAuditedRecognizableNameAudit" displayName="WebAuditedRecognizableNameAudit" ref="A3:H92" headerRowCount="1">
  <x:tableColumns count="8">
    <x:tableColumn id="1" name="卡牌英文名"/>
    <x:tableColumn id="2" name="最终面板名"/>
    <x:tableColumn id="3" name="真实依据"/>
    <x:tableColumn id="4" name="强度档位"/>
    <x:tableColumn id="5" name="易伤相关"/>
    <x:tableColumn id="6" name="写轮眼/破绽语义"/>
    <x:tableColumn id="7" name="名称出现次数"/>
    <x:tableColumn id="8" name="校验结果"/>
  </x:tableColumns>
  <x:tableStyleInfo name="TableStyleMedium2" showRowStripes="1"/>
</x:table>
</file>

<file path=xl/tables/table5.xml><?xml version="1.0" encoding="utf-8"?>
<x:table xmlns:x="http://schemas.openxmlformats.org/spreadsheetml/2006/main" id="35" name="WebAuditedEraStrengthTable" displayName="WebAuditedEraStrengthTable" ref="A3:J92" headerRowCount="1">
  <x:tableColumns count="10">
    <x:tableColumn id="1" name="卡牌英文名"/>
    <x:tableColumn id="2" name="稀有度"/>
    <x:tableColumn id="3" name="费用"/>
    <x:tableColumn id="4" name="最终面板名"/>
    <x:tableColumn id="5" name="真实依据"/>
    <x:tableColumn id="6" name="强度档位"/>
    <x:tableColumn id="7" name="限定时期实际使用说明"/>
    <x:tableColumn id="8" name="目录状态"/>
    <x:tableColumn id="9" name="唯一性"/>
    <x:tableColumn id="10" name="备注"/>
  </x:tableColumns>
  <x:tableStyleInfo name="TableStyleMedium2" showRowStripes="1"/>
</x:table>
</file>

<file path=xl/tables/table6.xml><?xml version="1.0" encoding="utf-8"?>
<x:table xmlns:x="http://schemas.openxmlformats.org/spreadsheetml/2006/main" id="12" name="RemovedEarlyJutsuTable" displayName="RemovedEarlyJutsuTable" ref="A3:F7" headerRowCount="1">
  <x:tableColumns count="6">
    <x:tableColumn id="1" name="被剔除依据"/>
    <x:tableColumn id="2" name="剔除原因"/>
    <x:tableColumn id="3" name="受影响卡牌"/>
    <x:tableColumn id="4" name="替换后的真实依据"/>
    <x:tableColumn id="5" name="核验说明"/>
    <x:tableColumn id="6" name="证据URL"/>
  </x:tableColumns>
  <x:tableStyleInfo name="TableStyleMedium2" showRowStripes="1"/>
</x:table>
</file>

<file path=xl/tables/table7.xml><?xml version="1.0" encoding="utf-8"?>
<x:table xmlns:x="http://schemas.openxmlformats.org/spreadsheetml/2006/main" id="36" name="WebAuditedSharinganAudit" displayName="WebAuditedSharinganAudit" ref="A3:I92" headerRowCount="1">
  <x:tableColumns count="9">
    <x:tableColumn id="1" name="卡牌英文名"/>
    <x:tableColumn id="2" name="最终面板名"/>
    <x:tableColumn id="3" name="卡牌效果"/>
    <x:tableColumn id="4" name="是否易伤相关"/>
    <x:tableColumn id="5" name="写轮眼联动类型"/>
    <x:tableColumn id="6" name="动画规则"/>
    <x:tableColumn id="7" name="名称语义检查"/>
    <x:tableColumn id="8" name="机制检查"/>
    <x:tableColumn id="9" name="结果"/>
  </x:tableColumns>
  <x:tableStyleInfo name="TableStyleMedium2" showRowStripes="1"/>
</x:table>
</file>

<file path=xl/tables/table8.xml><?xml version="1.0" encoding="utf-8"?>
<x:table xmlns:x="http://schemas.openxmlformats.org/spreadsheetml/2006/main" id="33" name="WebAuditedPanelNamingCatalog" displayName="WebAuditedPanelNamingCatalog" ref="A11:D100" headerRowCount="1">
  <x:tableColumns count="4">
    <x:tableColumn id="1" name="卡牌英文名"/>
    <x:tableColumn id="2" name="最终面板名"/>
    <x:tableColumn id="3" name="强度档位"/>
    <x:tableColumn id="4" name="真实招式依据"/>
  </x:tableColumns>
  <x:tableStyleInfo name="TableStyleMedium2" showRowStripes="1"/>
</x:table>
</file>

<file path=xl/tables/table9.xml><?xml version="1.0" encoding="utf-8"?>
<x:table xmlns:x="http://schemas.openxmlformats.org/spreadsheetml/2006/main" id="31" name="WebCatalogRestorationChanges" displayName="WebCatalogRestorationChanges" ref="A3:F11" headerRowCount="1">
  <x:tableColumns count="6">
    <x:tableColumn id="1" name="补回招式"/>
    <x:tableColumn id="2" name="补回原因"/>
    <x:tableColumn id="3" name="实际使用阶段"/>
    <x:tableColumn id="4" name="当前映射卡牌"/>
    <x:tableColumn id="5" name="证据URL"/>
    <x:tableColumn id="6" name="对面板命名的影响"/>
  </x:tableColumns>
  <x:tableStyleInfo name="TableStyleMedium2" showRowStripes="1"/>
</x:table>
</file>

<file path=xl/tables/table10.xml><?xml version="1.0" encoding="utf-8"?>
<x:table xmlns:x="http://schemas.openxmlformats.org/spreadsheetml/2006/main" id="32" name="WebOmissionAuditTable" displayName="WebOmissionAuditTable" ref="A3:H11" headerRowCount="1">
  <x:tableColumns count="8">
    <x:tableColumn id="1" name="项目"/>
    <x:tableColumn id="2" name="判断"/>
    <x:tableColumn id="3" name="类型"/>
    <x:tableColumn id="4" name="限定时期结论"/>
    <x:tableColumn id="5" name="处理结果"/>
    <x:tableColumn id="6" name="对应卡牌"/>
    <x:tableColumn id="7" name="证据URL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04736b2a0840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6cb1b4428348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dbb92a677b49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794970dd5143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ecce19ec9a4b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8ed848085448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6544a04a8f44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75b685a6f842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76b2f9dfdb47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a3200c62719465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2" hidden="0" customWidth="1"/>
    <x:col min="4" max="4" width="22" hidden="0" customWidth="1"/>
    <x:col min="5" max="5" width="22" hidden="0" customWidth="1"/>
    <x:col min="6" max="6" width="10" hidden="0" customWidth="1"/>
    <x:col min="7" max="7" width="14" hidden="0" customWidth="1"/>
    <x:col min="8" max="8" width="10" hidden="0" customWidth="1"/>
    <x:col min="9" max="9" width="34" hidden="0" customWidth="1"/>
    <x:col min="10" max="10" width="34" hidden="0" customWidth="1"/>
    <x:col min="11" max="11" width="24" hidden="0" customWidth="1"/>
    <x:col min="12" max="12" width="50" hidden="0" customWidth="1"/>
    <x:col min="13" max="13" width="14" hidden="0" customWidth="1"/>
    <x:col min="14" max="14" width="30" hidden="0" customWidth="1"/>
    <x:col min="15" max="15" width="34" hidden="0" customWidth="1"/>
    <x:col min="16" max="16" width="31" hidden="0" customWidth="1"/>
    <x:col min="17" max="17" width="38" hidden="0" customWidth="1"/>
    <x:col min="18" max="18" width="16" hidden="0" customWidth="1"/>
    <x:col min="19" max="19" width="15" hidden="0" customWidth="1"/>
    <x:col min="20" max="20" width="58" hidden="0" customWidth="1"/>
    <x:col min="21" max="21" width="31" hidden="0" customWidth="1"/>
    <x:col min="22" max="22" width="58" hidden="0" customWidth="1"/>
    <x:col min="23" max="23" width="58" hidden="0" customWidth="1"/>
    <x:col min="24" max="24" width="58" hidden="0" customWidth="1"/>
    <x:col min="25" max="25" width="46" hidden="0" customWidth="1"/>
    <x:col min="26" max="26" width="27" hidden="0" customWidth="1"/>
    <x:col min="27" max="27" width="56" hidden="0" customWidth="1"/>
    <x:col min="28" max="28" width="50" hidden="0" customWidth="1"/>
    <x:col min="29" max="29" width="14" hidden="0" customWidth="1"/>
    <x:col min="30" max="30" width="40" hidden="0" customWidth="1"/>
    <x:col min="31" max="31" width="28" hidden="0" customWidth="1"/>
    <x:col min="32" max="32" width="42" hidden="0" customWidth="1"/>
    <x:col min="33" max="33" width="38" hidden="0" customWidth="1"/>
    <x:col min="34" max="34" width="42" hidden="0" customWidth="1"/>
    <x:col min="35" max="35" width="38" hidden="0" customWidth="1"/>
  </x:cols>
  <x:sheetData>
    <x:row r="1" ht="30" customHeight="1">
      <x:c r="A1" s="5" t="str">
        <x:v>《杀戮尖塔2》战士卡牌 × 佐助招式与阶段转换（M1.5研究表）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2" customHeight="1">
      <x:c r="A2" s="13" t="str">
        <x:v>数据基线：public-beta v0.109.0（2026-07-17）。中文名为工作译名；card_id 为研究候选，最终以项目最新 public-beta 本地双次审计为准。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30" customHeight="1">
      <x:c r="A3" s="21" t="str">
        <x:v>阶段定义：3A=紫衣正常；3B=紫衣战损；4A=咒印二正常；4B=咒印二战损。战斗结束保持结束形态，下一场战斗开始才重置为3A。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46" customHeight="1">
      <x:c r="A4" s="1543" t="str">
        <x:v>序号</x:v>
      </x:c>
      <x:c r="B4" s="1544" t="str">
        <x:v>卡池类型</x:v>
      </x:c>
      <x:c r="C4" s="1544" t="str">
        <x:v>卡牌中文名称（工作译名）</x:v>
      </x:c>
      <x:c r="D4" s="1544" t="str">
        <x:v>card_id（候选）</x:v>
      </x:c>
      <x:c r="E4" s="1544" t="str">
        <x:v>卡牌英文名称</x:v>
      </x:c>
      <x:c r="F4" s="1544" t="str">
        <x:v>卡牌稀有度</x:v>
      </x:c>
      <x:c r="G4" s="1544" t="str">
        <x:v>卡牌费用（基础→升级）</x:v>
      </x:c>
      <x:c r="H4" s="1544" t="str">
        <x:v>卡牌类型</x:v>
      </x:c>
      <x:c r="I4" s="1544" t="str">
        <x:v>基础效果</x:v>
      </x:c>
      <x:c r="J4" s="1544" t="str">
        <x:v>升级效果</x:v>
      </x:c>
      <x:c r="K4" s="1544" t="str">
        <x:v>关键词</x:v>
      </x:c>
      <x:c r="L4" s="1544" t="str">
        <x:v>卡牌详细字段</x:v>
      </x:c>
      <x:c r="M4" s="1544" t="str">
        <x:v>稀有度变更次数</x:v>
      </x:c>
      <x:c r="N4" s="1544" t="str">
        <x:v>稀有度变更历史</x:v>
      </x:c>
      <x:c r="O4" s="1544" t="str">
        <x:v>最终卡牌名称（面板）</x:v>
      </x:c>
      <x:c r="P4" s="1544" t="str">
        <x:v>依据的限定时期真实招式/能力</x:v>
      </x:c>
      <x:c r="Q4" s="1544" t="str">
        <x:v>命名来源</x:v>
      </x:c>
      <x:c r="R4" s="1544" t="str">
        <x:v>真实招式目录状态</x:v>
      </x:c>
      <x:c r="S4" s="1544" t="str">
        <x:v>招式强度档位</x:v>
      </x:c>
      <x:c r="T4" s="1544" t="str">
        <x:v>限定时期实际使用说明</x:v>
      </x:c>
      <x:c r="U4" s="1544" t="str">
        <x:v>写轮眼—易伤联动类型</x:v>
      </x:c>
      <x:c r="V4" s="1544" t="str">
        <x:v>写轮眼动画规则</x:v>
      </x:c>
      <x:c r="W4" s="1544" t="str">
        <x:v>推荐理由与卡牌联动</x:v>
      </x:c>
      <x:c r="X4" s="1544" t="str">
        <x:v>强度匹配说明</x:v>
      </x:c>
      <x:c r="Y4" s="1544" t="str">
        <x:v>正式原文/英文名</x:v>
      </x:c>
      <x:c r="Z4" s="1544" t="str">
        <x:v>出典类型</x:v>
      </x:c>
      <x:c r="AA4" s="1544" t="str">
        <x:v>真实性/命名说明</x:v>
      </x:c>
      <x:c r="AB4" s="1544" t="str">
        <x:v>招式证据URL</x:v>
      </x:c>
      <x:c r="AC4" s="1544" t="str">
        <x:v>是否会造成阶段转化</x:v>
      </x:c>
      <x:c r="AD4" s="1544" t="str">
        <x:v>由哪个阶段转化为哪个</x:v>
      </x:c>
      <x:c r="AE4" s="1544" t="str">
        <x:v>card_id核验状态</x:v>
      </x:c>
      <x:c r="AF4" s="1544" t="str">
        <x:v>当前卡牌数据来源URL</x:v>
      </x:c>
      <x:c r="AG4" s="1545" t="str">
        <x:v>稀有度历史来源URL</x:v>
      </x:c>
      <x:c r="AH4" s="1230" t="str">
        <x:v>当前卡牌数据来源URL</x:v>
      </x:c>
      <x:c r="AI4" s="1238" t="str">
        <x:v>稀有度历史来源URL</x:v>
      </x:c>
    </x:row>
    <x:row r="5" ht="106" customHeight="1">
      <x:c r="A5" s="1546" t="n">
        <x:v>1</x:v>
      </x:c>
      <x:c r="B5" s="1547" t="str">
        <x:v>战士基础卡</x:v>
      </x:c>
      <x:c r="C5" s="1548" t="str">
        <x:v>痛击</x:v>
      </x:c>
      <x:c r="D5" s="1547" t="str">
        <x:v>Bash</x:v>
      </x:c>
      <x:c r="E5" s="1548" t="str">
        <x:v>Bash</x:v>
      </x:c>
      <x:c r="F5" s="1547" t="str">
        <x:v>基础</x:v>
      </x:c>
      <x:c r="G5" s="1547" t="str">
        <x:v>2</x:v>
      </x:c>
      <x:c r="H5" s="1547" t="str">
        <x:v>攻击</x:v>
      </x:c>
      <x:c r="I5" s="1548" t="str">
        <x:v>造成8点伤害；施加2层易伤。</x:v>
      </x:c>
      <x:c r="J5" s="1548" t="str">
        <x:v>造成10点伤害；施加3层易伤。</x:v>
      </x:c>
      <x:c r="K5" s="1548" t="str">
        <x:v>伤害；易伤；写轮眼关联</x:v>
      </x:c>
      <x:c r="L5" s="1548" t="str">
        <x:v>卡池=战士基础卡；类型=攻击；稀有度=基础；费用=2；目标=单体敌人；基础效果=造成8点伤害；施加2层易伤。；升级效果=造成10点伤害；施加3层易伤。；关键词=伤害；易伤；写轮眼关联</x:v>
      </x:c>
      <x:c r="M5" s="1547" t="n">
        <x:v>0</x:v>
      </x:c>
      <x:c r="N5" s="1548" t="str">
        <x:v>0（未发现开服后官方稀有度变更记录）</x:v>
      </x:c>
      <x:c r="O5" s="1596" t="str">
        <x:v>写轮眼·破势</x:v>
      </x:c>
      <x:c r="P5" s="1599" t="str">
        <x:v>写轮眼</x:v>
      </x:c>
      <x:c r="Q5" s="1600" t="str">
        <x:v>原著识别型项目命名（基于“写轮眼”）</x:v>
      </x:c>
      <x:c r="R5" s="1601" t="str">
        <x:v>核心目录</x:v>
      </x:c>
      <x:c r="S5" s="1553" t="str">
        <x:v>T2 进阶</x:v>
      </x:c>
      <x:c r="T5" s="1554" t="str">
        <x:v>白衣/Hebi与兄弟之战中实际开启，用于观察、预判和幻术。</x:v>
      </x:c>
      <x:c r="U5" s="1608" t="str">
        <x:v>施加易伤｜开启解析</x:v>
      </x:c>
      <x:c r="V5" s="1609" t="str">
        <x:v>攻击命中并正式施加易伤时开启三勾玉；目标出现破绽轮廓与命中点标记。若目标已易伤，则不重复完整开眼，只刷新解析脉冲。</x:v>
      </x:c>
      <x:c r="W5" s="1557" t="str">
        <x:v>合理性：易伤代表敌人的架势与防御被看穿，“写轮眼·破势”以眼部特写、预判残影和近身破防表现这一机制。联动：它是写轮眼易伤体系的基础入口，直接为 Bully、Dismantle、Molten Fist、Cruelty、Dominate、Vicious 和 Colossus 提供条件。</x:v>
      </x:c>
      <x:c r="X5" s="1557" t="str">
        <x:v>强度定位：T2 进阶。稀有度=基础，费用=2，效果核心为“造成8点伤害；施加2层易伤。”。中等数值或机制启动牌；使用进阶剑术、火遁、雷遁、忍具或咒印一阶段等表达，但避免最高奥义措辞。 因此采用“写轮眼·破势”，避免名称强度高于或低于卡牌实际表现。</x:v>
      </x:c>
      <x:c r="Y5" s="1558" t="str">
        <x:v>Sharingan / 写輪眼</x:v>
      </x:c>
      <x:c r="Z5" s="1559" t="str">
        <x:v>原作漫画、动画、资料书</x:v>
      </x:c>
      <x:c r="AA5" s="1560" t="str">
        <x:v>面板名“写轮眼·破势”保留“写轮眼”的核心识别词或完整正式名。新增后缀仅用于反映卡牌机制与区分动作，不冒充新的官方招式。</x:v>
      </x:c>
      <x:c r="AB5" s="1560" t="str">
        <x:v>https://naruto.fandom.com/wiki/Sasuke_Uchiha</x:v>
      </x:c>
      <x:c r="AC5" s="1547" t="str">
        <x:v>否</x:v>
      </x:c>
      <x:c r="AD5" s="1548" t="str">
        <x:v>—</x:v>
      </x:c>
      <x:c r="AE5" s="1560" t="str">
        <x:v>研究用候选ID；待最新 public-beta 本地审计</x:v>
      </x:c>
      <x:c r="AF5" s="1548" t="str">
        <x:v>https://slaythespire.wiki.gg/wiki/Module%3ACards/StS2_data/Ironclad</x:v>
      </x:c>
      <x:c r="AG5" s="1561"/>
      <x:c r="AH5" s="1248" t="str">
        <x:v>https://slaythespire.wiki.gg/wiki/Module%3ACards/StS2_data/Ironclad</x:v>
      </x:c>
      <x:c r="AI5" s="1289"/>
    </x:row>
    <x:row r="6" ht="106" customHeight="1">
      <x:c r="A6" s="1562" t="n">
        <x:v>2</x:v>
      </x:c>
      <x:c r="B6" s="572" t="str">
        <x:v>战士基础卡</x:v>
      </x:c>
      <x:c r="C6" s="573" t="str">
        <x:v>防御</x:v>
      </x:c>
      <x:c r="D6" s="572" t="str">
        <x:v>Defend</x:v>
      </x:c>
      <x:c r="E6" s="573" t="str">
        <x:v>Defend (Ironclad)</x:v>
      </x:c>
      <x:c r="F6" s="572" t="str">
        <x:v>基础</x:v>
      </x:c>
      <x:c r="G6" s="572" t="str">
        <x:v>1</x:v>
      </x:c>
      <x:c r="H6" s="572" t="str">
        <x:v>技能</x:v>
      </x:c>
      <x:c r="I6" s="573" t="str">
        <x:v>获得5点格挡。</x:v>
      </x:c>
      <x:c r="J6" s="573" t="str">
        <x:v>获得8点格挡。</x:v>
      </x:c>
      <x:c r="K6" s="573" t="str">
        <x:v>格挡</x:v>
      </x:c>
      <x:c r="L6" s="573" t="str">
        <x:v>卡池=战士基础卡；类型=技能；稀有度=基础；费用=1；目标=自身；基础效果=获得5点格挡。；升级效果=获得8点格挡。；关键词=格挡</x:v>
      </x:c>
      <x:c r="M6" s="572" t="n">
        <x:v>0</x:v>
      </x:c>
      <x:c r="N6" s="573" t="str">
        <x:v>0（未发现开服后官方稀有度变更记录）</x:v>
      </x:c>
      <x:c r="O6" s="1597" t="str">
        <x:v>草薙剑·剑御</x:v>
      </x:c>
      <x:c r="P6" s="1602" t="str">
        <x:v>居合</x:v>
      </x:c>
      <x:c r="Q6" s="1603" t="str">
        <x:v>原著识别型项目命名（基于“居合”）</x:v>
      </x:c>
      <x:c r="R6" s="1604" t="str">
        <x:v>动作根目录</x:v>
      </x:c>
      <x:c r="S6" s="1134" t="str">
        <x:v>T1 基础</x:v>
      </x:c>
      <x:c r="T6" s="784" t="str">
        <x:v>白衣/Hebi与兄弟之战的基础草薙剑近战体系。</x:v>
      </x:c>
      <x:c r="U6" s="1610" t="str">
        <x:v>无</x:v>
      </x:c>
      <x:c r="V6" s="1611" t="str">
        <x:v>本牌不得开启、延长或强化敌人/场景的写轮眼解析。阶段4角色自身红眼常驻属于形态表现，不代表本牌触发易伤解析。</x:v>
      </x:c>
      <x:c r="W6" s="1003" t="str">
        <x:v>合理性：基础格挡最适合以草薙剑横架、剑脊卸力和忍具钢丝补防表现，不夸大原牌效果。联动：积累的格挡可被 Body Slam 转化为伤害，并触发 Juggernaut；也与 Barricade、Unmovable、Demonic Shield、Tank 组成完整防御链。</x:v>
      </x:c>
      <x:c r="X6" s="1003" t="str">
        <x:v>强度定位：T1 基础。稀有度=基础，费用=1，效果核心为“获得5点格挡。”。基础牌或低费用单一效果；名称只使用普通剑术、手里剑、基础体术或低强度战术词，不使用变身、奥义和终结级词汇。 因此采用“草薙剑·剑御”，避免名称强度高于或低于卡牌实际表现。</x:v>
      </x:c>
      <x:c r="Y6" s="1002" t="str">
        <x:v>Iaidō / 居合</x:v>
      </x:c>
      <x:c r="Z6" s="1004" t="str">
        <x:v>原作角色招式资料</x:v>
      </x:c>
      <x:c r="AA6" s="587" t="str">
        <x:v>面板名“草薙剑·剑御”保留“居合”的核心识别词或完整正式名。新增后缀仅用于反映卡牌机制与区分动作，不冒充新的官方招式。</x:v>
      </x:c>
      <x:c r="AB6" s="587" t="str">
        <x:v>https://naruto.fandom.com/wiki/Sasuke_Uchiha</x:v>
      </x:c>
      <x:c r="AC6" s="572" t="str">
        <x:v>否</x:v>
      </x:c>
      <x:c r="AD6" s="573" t="str">
        <x:v>—</x:v>
      </x:c>
      <x:c r="AE6" s="587" t="str">
        <x:v>研究用候选ID；待最新 public-beta 本地审计</x:v>
      </x:c>
      <x:c r="AF6" s="573" t="str">
        <x:v>https://slaythespire.wiki.gg/wiki/Module%3ACards/StS2_data/Ironclad</x:v>
      </x:c>
      <x:c r="AG6" s="1563"/>
      <x:c r="AH6" s="573" t="str">
        <x:v>https://slaythespire.wiki.gg/wiki/Module%3ACards/StS2_data/Ironclad</x:v>
      </x:c>
      <x:c r="AI6" s="1292"/>
    </x:row>
    <x:row r="7" ht="106" customHeight="1">
      <x:c r="A7" s="1562" t="n">
        <x:v>3</x:v>
      </x:c>
      <x:c r="B7" s="572" t="str">
        <x:v>战士基础卡</x:v>
      </x:c>
      <x:c r="C7" s="573" t="str">
        <x:v>打击</x:v>
      </x:c>
      <x:c r="D7" s="572" t="str">
        <x:v>Strike</x:v>
      </x:c>
      <x:c r="E7" s="573" t="str">
        <x:v>Strike (Ironclad)</x:v>
      </x:c>
      <x:c r="F7" s="572" t="str">
        <x:v>基础</x:v>
      </x:c>
      <x:c r="G7" s="572" t="str">
        <x:v>1</x:v>
      </x:c>
      <x:c r="H7" s="572" t="str">
        <x:v>攻击</x:v>
      </x:c>
      <x:c r="I7" s="573" t="str">
        <x:v>造成6点伤害。</x:v>
      </x:c>
      <x:c r="J7" s="573" t="str">
        <x:v>造成9点伤害。</x:v>
      </x:c>
      <x:c r="K7" s="573" t="str">
        <x:v>伤害；单体</x:v>
      </x:c>
      <x:c r="L7" s="573" t="str">
        <x:v>卡池=战士基础卡；类型=攻击；稀有度=基础；费用=1；目标=单体敌人；基础效果=造成6点伤害。；升级效果=造成9点伤害。；关键词=伤害；单体</x:v>
      </x:c>
      <x:c r="M7" s="572" t="n">
        <x:v>0</x:v>
      </x:c>
      <x:c r="N7" s="573" t="str">
        <x:v>0（未发现开服后官方稀有度变更记录）</x:v>
      </x:c>
      <x:c r="O7" s="1597" t="str">
        <x:v>草薙剑·瞬斩</x:v>
      </x:c>
      <x:c r="P7" s="1602" t="str">
        <x:v>居合</x:v>
      </x:c>
      <x:c r="Q7" s="1603" t="str">
        <x:v>原著识别型项目命名（基于“居合”）</x:v>
      </x:c>
      <x:c r="R7" s="1604" t="str">
        <x:v>动作根目录</x:v>
      </x:c>
      <x:c r="S7" s="1134" t="str">
        <x:v>T1 基础</x:v>
      </x:c>
      <x:c r="T7" s="784" t="str">
        <x:v>白衣/Hebi与兄弟之战的基础草薙剑近战体系。</x:v>
      </x:c>
      <x:c r="U7" s="1610" t="str">
        <x:v>无</x:v>
      </x:c>
      <x:c r="V7" s="1611" t="str">
        <x:v>本牌不得开启、延长或强化敌人/场景的写轮眼解析。阶段4角色自身红眼常驻属于形态表现，不代表本牌触发易伤解析。</x:v>
      </x:c>
      <x:c r="W7" s="1003" t="str">
        <x:v>合理性：单体基础伤害对应简洁、快速、无额外属性的草薙剑草薙剑·瞬斩，适合作为所有高级剑术的动作母版。联动：属于 Strike 牌系，可强化 Perfected Strike，并被 Hellraiser 自动打出；也适合接 One-Two Punch、Juggling 和 Rage。</x:v>
      </x:c>
      <x:c r="X7" s="1003" t="str">
        <x:v>强度定位：T1 基础。稀有度=基础，费用=1，效果核心为“造成6点伤害。”。基础牌或低费用单一效果；名称只使用普通剑术、手里剑、基础体术或低强度战术词，不使用变身、奥义和终结级词汇。 因此采用“草薙剑·瞬斩”，避免名称强度高于或低于卡牌实际表现。</x:v>
      </x:c>
      <x:c r="Y7" s="1002" t="str">
        <x:v>Iaidō / 居合</x:v>
      </x:c>
      <x:c r="Z7" s="1004" t="str">
        <x:v>原作角色招式资料</x:v>
      </x:c>
      <x:c r="AA7" s="587" t="str">
        <x:v>面板名“草薙剑·瞬斩”保留“居合”的核心识别词或完整正式名。新增后缀仅用于反映卡牌机制与区分动作，不冒充新的官方招式。</x:v>
      </x:c>
      <x:c r="AB7" s="587" t="str">
        <x:v>https://naruto.fandom.com/wiki/Sasuke_Uchiha</x:v>
      </x:c>
      <x:c r="AC7" s="572" t="str">
        <x:v>否</x:v>
      </x:c>
      <x:c r="AD7" s="573" t="str">
        <x:v>—</x:v>
      </x:c>
      <x:c r="AE7" s="587" t="str">
        <x:v>研究用候选ID；待最新 public-beta 本地审计</x:v>
      </x:c>
      <x:c r="AF7" s="573" t="str">
        <x:v>https://slaythespire.wiki.gg/wiki/Module%3ACards/StS2_data/Ironclad</x:v>
      </x:c>
      <x:c r="AG7" s="1563"/>
      <x:c r="AH7" s="573" t="str">
        <x:v>https://slaythespire.wiki.gg/wiki/Module%3ACards/StS2_data/Ironclad</x:v>
      </x:c>
      <x:c r="AI7" s="1292"/>
    </x:row>
    <x:row r="8" ht="106" customHeight="1">
      <x:c r="A8" s="1562" t="n">
        <x:v>4</x:v>
      </x:c>
      <x:c r="B8" s="572" t="str">
        <x:v>战士普通卡</x:v>
      </x:c>
      <x:c r="C8" s="573" t="str">
        <x:v>愤怒</x:v>
      </x:c>
      <x:c r="D8" s="572" t="str">
        <x:v>Anger</x:v>
      </x:c>
      <x:c r="E8" s="573" t="str">
        <x:v>Anger</x:v>
      </x:c>
      <x:c r="F8" s="572" t="str">
        <x:v>普通</x:v>
      </x:c>
      <x:c r="G8" s="572" t="str">
        <x:v>0</x:v>
      </x:c>
      <x:c r="H8" s="572" t="str">
        <x:v>攻击</x:v>
      </x:c>
      <x:c r="I8" s="573" t="str">
        <x:v>造成6点伤害；将此牌的一张复制加入弃牌堆。</x:v>
      </x:c>
      <x:c r="J8" s="573" t="str">
        <x:v>造成8点伤害；将此牌的一张复制加入弃牌堆。</x:v>
      </x:c>
      <x:c r="K8" s="573" t="str">
        <x:v>伤害；复制</x:v>
      </x:c>
      <x:c r="L8" s="573" t="str">
        <x:v>卡池=战士普通卡；类型=攻击；稀有度=普通；费用=0；目标=单体敌人；基础效果=造成6点伤害；将此牌的一张复制加入弃牌堆。；升级效果=造成8点伤害；将此牌的一张复制加入弃牌堆。；关键词=伤害；复制</x:v>
      </x:c>
      <x:c r="M8" s="572" t="n">
        <x:v>0</x:v>
      </x:c>
      <x:c r="N8" s="573" t="str">
        <x:v>0（未发现开服后官方稀有度变更记录）</x:v>
      </x:c>
      <x:c r="O8" s="1597" t="str">
        <x:v>操手里剑·影袭</x:v>
      </x:c>
      <x:c r="P8" s="1602" t="str">
        <x:v>操手里剑之术</x:v>
      </x:c>
      <x:c r="Q8" s="1603" t="str">
        <x:v>原著识别型项目命名（基于“操手里剑之术”）</x:v>
      </x:c>
      <x:c r="R8" s="1604" t="str">
        <x:v>核心目录</x:v>
      </x:c>
      <x:c r="S8" s="1134" t="str">
        <x:v>T1 基础</x:v>
      </x:c>
      <x:c r="T8" s="784" t="str">
        <x:v>白衣/Hebi对迪达拉战实际使用，首次出现于漫画第358话。</x:v>
      </x:c>
      <x:c r="U8" s="1610" t="str">
        <x:v>无</x:v>
      </x:c>
      <x:c r="V8" s="1611" t="str">
        <x:v>本牌不得开启、延长或强化敌人/场景的写轮眼解析。阶段4角色自身红眼常驻属于形态表现，不代表本牌触发易伤解析。</x:v>
      </x:c>
      <x:c r="W8" s="1003" t="str">
        <x:v>合理性：零费攻击并生成自身复制，对应白衣/Hebi佐助以钢丝控制手里剑轨迹、连续补投同一组忍具。联动：复制牌能推动 Juggling、Rage 与 Stampede 的攻击次数，也是忍具连段的低费起手。</x:v>
      </x:c>
      <x:c r="X8" s="1003" t="str">
        <x:v>强度定位：T1 基础。稀有度=普通，费用=0，效果核心为“造成6点伤害；将此牌的一张复制加入弃牌堆。”。基础牌或低费用单一效果；名称只使用普通剑术、手里剑、基础体术或低强度战术词，不使用变身、奥义和终结级词汇。 因此采用“操手里剑·影袭”，避免名称强度高于或低于卡牌实际表现。</x:v>
      </x:c>
      <x:c r="Y8" s="1002" t="str">
        <x:v>Manipulated Shuriken Technique / 操手裏剣の術</x:v>
      </x:c>
      <x:c r="Z8" s="1004" t="str">
        <x:v>原作漫画、动画、火影忍者手游</x:v>
      </x:c>
      <x:c r="AA8" s="587" t="str">
        <x:v>面板名“操手里剑·影袭”保留“操手里剑之术”的核心识别词或完整正式名。新增后缀仅用于反映卡牌机制与区分动作，不冒充新的官方招式。</x:v>
      </x:c>
      <x:c r="AB8" s="587" t="str">
        <x:v>https://naruto.fandom.com/wiki/Manipulated_Shuriken_Technique</x:v>
      </x:c>
      <x:c r="AC8" s="572" t="str">
        <x:v>否</x:v>
      </x:c>
      <x:c r="AD8" s="573" t="str">
        <x:v>—</x:v>
      </x:c>
      <x:c r="AE8" s="587" t="str">
        <x:v>研究用候选ID；待最新 public-beta 本地审计</x:v>
      </x:c>
      <x:c r="AF8" s="573" t="str">
        <x:v>https://slaythespire.wiki.gg/wiki/Module%3ACards/StS2_data/Ironclad</x:v>
      </x:c>
      <x:c r="AG8" s="1563"/>
      <x:c r="AH8" s="573" t="str">
        <x:v>https://slaythespire.wiki.gg/wiki/Module%3ACards/StS2_data/Ironclad</x:v>
      </x:c>
      <x:c r="AI8" s="1292"/>
    </x:row>
    <x:row r="9" ht="106" customHeight="1">
      <x:c r="A9" s="1562" t="n">
        <x:v>5</x:v>
      </x:c>
      <x:c r="B9" s="572" t="str">
        <x:v>战士普通卡</x:v>
      </x:c>
      <x:c r="C9" s="573" t="str">
        <x:v>武装</x:v>
      </x:c>
      <x:c r="D9" s="572" t="str">
        <x:v>Armaments</x:v>
      </x:c>
      <x:c r="E9" s="573" t="str">
        <x:v>Armaments</x:v>
      </x:c>
      <x:c r="F9" s="572" t="str">
        <x:v>普通</x:v>
      </x:c>
      <x:c r="G9" s="572" t="str">
        <x:v>1</x:v>
      </x:c>
      <x:c r="H9" s="572" t="str">
        <x:v>技能</x:v>
      </x:c>
      <x:c r="I9" s="573" t="str">
        <x:v>获得5点格挡；升级手牌中的1张牌。</x:v>
      </x:c>
      <x:c r="J9" s="573" t="str">
        <x:v>获得5点格挡；升级手牌中的所有牌。</x:v>
      </x:c>
      <x:c r="K9" s="573" t="str">
        <x:v>格挡；升级</x:v>
      </x:c>
      <x:c r="L9" s="573" t="str">
        <x:v>卡池=战士普通卡；类型=技能；稀有度=普通；费用=1；目标=自身/手牌；基础效果=获得5点格挡；升级手牌中的1张牌。；升级效果=获得5点格挡；升级手牌中的所有牌。；关键词=格挡；升级</x:v>
      </x:c>
      <x:c r="M9" s="572" t="n">
        <x:v>0</x:v>
      </x:c>
      <x:c r="N9" s="573" t="str">
        <x:v>0（未发现开服后官方稀有度变更记录）</x:v>
      </x:c>
      <x:c r="O9" s="1597" t="str">
        <x:v>通灵·雷光剑化</x:v>
      </x:c>
      <x:c r="P9" s="1602" t="str">
        <x:v>通灵·雷光剑化</x:v>
      </x:c>
      <x:c r="Q9" s="1603" t="str">
        <x:v>正式招式名原样采用</x:v>
      </x:c>
      <x:c r="R9" s="1604" t="str">
        <x:v>核心目录</x:v>
      </x:c>
      <x:c r="S9" s="1134" t="str">
        <x:v>T2 进阶</x:v>
      </x:c>
      <x:c r="T9" s="784" t="str">
        <x:v>兄弟之战中通过手腕封印实际召唤风魔手里剑和忍具。</x:v>
      </x:c>
      <x:c r="U9" s="1610" t="str">
        <x:v>无</x:v>
      </x:c>
      <x:c r="V9" s="1611" t="str">
        <x:v>本牌不得开启、延长或强化敌人/场景的写轮眼解析。阶段4角色自身红眼常驻属于形态表现，不代表本牌触发易伤解析。</x:v>
      </x:c>
      <x:c r="W9" s="1003" t="str">
        <x:v>合理性：获得格挡并升级卡牌，可解释为将雷遁灌入草薙剑和忍具，同时完成防御准备与兵刃强化。联动：优先强化 Strike 牌系、Whirlwind、Bludgeon 等主力攻击；与 Aggression、Hellraiser 共同形成“强化后自动出招”的剑术链。</x:v>
      </x:c>
      <x:c r="X9" s="1003" t="str">
        <x:v>强度定位：T2 进阶。稀有度=普通，费用=1，效果核心为“获得5点格挡；升级手牌中的1张牌。”。中等数值或机制启动牌；使用进阶剑术、火遁、雷遁、忍具或咒印一阶段等表达，但避免最高奥义措辞。 因此采用“通灵·雷光剑化”，避免名称强度高于或低于卡牌实际表现。</x:v>
      </x:c>
      <x:c r="Y9" s="1002" t="str">
        <x:v>Summoning: Lightning Flash Blade Creation / 口寄せ・雷光剣化</x:v>
      </x:c>
      <x:c r="Z9" s="1004" t="str">
        <x:v>原作漫画、动画、资料书</x:v>
      </x:c>
      <x:c r="AA9" s="587" t="str">
        <x:v>面板名“通灵·雷光剑化”保留“通灵·雷光剑化”的核心识别词或完整正式名。新增后缀仅用于反映卡牌机制与区分动作，不冒充新的官方招式。</x:v>
      </x:c>
      <x:c r="AB9" s="587" t="str">
        <x:v>https://naruto.fandom.com/wiki/Summoning%3A_Lightning_Flash_Blade_Creation</x:v>
      </x:c>
      <x:c r="AC9" s="572" t="str">
        <x:v>否</x:v>
      </x:c>
      <x:c r="AD9" s="573" t="str">
        <x:v>—</x:v>
      </x:c>
      <x:c r="AE9" s="587" t="str">
        <x:v>研究用候选ID；待最新 public-beta 本地审计</x:v>
      </x:c>
      <x:c r="AF9" s="573" t="str">
        <x:v>https://slaythespire.wiki.gg/wiki/Module%3ACards/StS2_data/Ironclad</x:v>
      </x:c>
      <x:c r="AG9" s="1563"/>
      <x:c r="AH9" s="573" t="str">
        <x:v>https://slaythespire.wiki.gg/wiki/Module%3ACards/StS2_data/Ironclad</x:v>
      </x:c>
      <x:c r="AI9" s="1292"/>
    </x:row>
    <x:row r="10" ht="106" customHeight="1">
      <x:c r="A10" s="1562" t="n">
        <x:v>6</x:v>
      </x:c>
      <x:c r="B10" s="572" t="str">
        <x:v>战士普通卡</x:v>
      </x:c>
      <x:c r="C10" s="573" t="str">
        <x:v>血墙</x:v>
      </x:c>
      <x:c r="D10" s="572" t="str">
        <x:v>BloodWall</x:v>
      </x:c>
      <x:c r="E10" s="573" t="str">
        <x:v>Blood Wall</x:v>
      </x:c>
      <x:c r="F10" s="572" t="str">
        <x:v>普通</x:v>
      </x:c>
      <x:c r="G10" s="572" t="str">
        <x:v>2</x:v>
      </x:c>
      <x:c r="H10" s="572" t="str">
        <x:v>技能</x:v>
      </x:c>
      <x:c r="I10" s="573" t="str">
        <x:v>失去2点生命；获得16点格挡。</x:v>
      </x:c>
      <x:c r="J10" s="573" t="str">
        <x:v>失去2点生命；获得20点格挡。</x:v>
      </x:c>
      <x:c r="K10" s="573" t="str">
        <x:v>自损；格挡；战损阈值</x:v>
      </x:c>
      <x:c r="L10" s="573" t="str">
        <x:v>卡池=战士普通卡；类型=技能；稀有度=普通；费用=2；目标=自身；基础效果=失去2点生命；获得16点格挡。；升级效果=失去2点生命；获得20点格挡。；关键词=自损；格挡；战损阈值</x:v>
      </x:c>
      <x:c r="M10" s="572" t="n">
        <x:v>0</x:v>
      </x:c>
      <x:c r="N10" s="573" t="str">
        <x:v>0（未发现开服后官方稀有度变更记录）</x:v>
      </x:c>
      <x:c r="O10" s="1597" t="str">
        <x:v>咒印·血界</x:v>
      </x:c>
      <x:c r="P10" s="1602" t="str">
        <x:v>天之咒印</x:v>
      </x:c>
      <x:c r="Q10" s="1603" t="str">
        <x:v>原著识别型项目命名（基于“天之咒印”）</x:v>
      </x:c>
      <x:c r="R10" s="1604" t="str">
        <x:v>核心目录</x:v>
      </x:c>
      <x:c r="S10" s="1134" t="str">
        <x:v>T2 进阶</x:v>
      </x:c>
      <x:c r="T10" s="784" t="str">
        <x:v>白衣/Hebi对大蛇丸、迪达拉及鼬的战斗中实际激活。</x:v>
      </x:c>
      <x:c r="U10" s="1610" t="str">
        <x:v>无</x:v>
      </x:c>
      <x:c r="V10" s="1611" t="str">
        <x:v>本牌不得开启、延长或强化敌人/场景的写轮眼解析。阶段4角色自身红眼常驻属于形态表现，不代表本牌触发易伤解析。</x:v>
      </x:c>
      <x:c r="W10" s="1003" t="str">
        <x:v>合理性：主动失去生命换取高额格挡，和咒印以身体代价制造紫黑防壁的设定高度一致。联动：自损可触发 Rupture、Spite、Inferno 和 Tear Asunder；高额格挡又可供 Body Slam、Demonic Shield 与 Juggernaut 利用。</x:v>
      </x:c>
      <x:c r="X10" s="1003" t="str">
        <x:v>强度定位：T2 进阶。稀有度=普通，费用=2，效果核心为“失去2点生命；获得16点格挡。”。中等数值或机制启动牌；使用进阶剑术、火遁、雷遁、忍具或咒印一阶段等表达，但避免最高奥义措辞。 因此采用“咒印·血界”，避免名称强度高于或低于卡牌实际表现。</x:v>
      </x:c>
      <x:c r="Y10" s="1002" t="str">
        <x:v>Cursed Seal of Heaven / 天の呪印</x:v>
      </x:c>
      <x:c r="Z10" s="1004" t="str">
        <x:v>原作状态/能力</x:v>
      </x:c>
      <x:c r="AA10" s="587" t="str">
        <x:v>面板名“咒印·血界”保留“天之咒印”的核心识别词或完整正式名。新增后缀仅用于反映卡牌机制与区分动作，不冒充新的官方招式。</x:v>
      </x:c>
      <x:c r="AB10" s="587" t="str">
        <x:v>https://naruto.fandom.com/wiki/Cursed_Seal_of_Heaven</x:v>
      </x:c>
      <x:c r="AC10" s="572" t="str">
        <x:v>否</x:v>
      </x:c>
      <x:c r="AD10" s="573" t="str">
        <x:v>—</x:v>
      </x:c>
      <x:c r="AE10" s="587" t="str">
        <x:v>研究用候选ID；待最新 public-beta 本地审计</x:v>
      </x:c>
      <x:c r="AF10" s="573" t="str">
        <x:v>https://slaythespire.wiki.gg/wiki/Module%3ACards/StS2_data/Ironclad</x:v>
      </x:c>
      <x:c r="AG10" s="1563"/>
      <x:c r="AH10" s="573" t="str">
        <x:v>https://slaythespire.wiki.gg/wiki/Module%3ACards/StS2_data/Ironclad</x:v>
      </x:c>
      <x:c r="AI10" s="1292"/>
    </x:row>
    <x:row r="11" ht="106" customHeight="1">
      <x:c r="A11" s="1562" t="n">
        <x:v>7</x:v>
      </x:c>
      <x:c r="B11" s="572" t="str">
        <x:v>战士普通卡</x:v>
      </x:c>
      <x:c r="C11" s="573" t="str">
        <x:v>全身撞击</x:v>
      </x:c>
      <x:c r="D11" s="572" t="str">
        <x:v>BodySlam</x:v>
      </x:c>
      <x:c r="E11" s="573" t="str">
        <x:v>Body Slam</x:v>
      </x:c>
      <x:c r="F11" s="572" t="str">
        <x:v>普通</x:v>
      </x:c>
      <x:c r="G11" s="572" t="str">
        <x:v>1→0</x:v>
      </x:c>
      <x:c r="H11" s="572" t="str">
        <x:v>攻击</x:v>
      </x:c>
      <x:c r="I11" s="573" t="str">
        <x:v>造成等同于当前格挡值的伤害。</x:v>
      </x:c>
      <x:c r="J11" s="573" t="str">
        <x:v>费用降为0；造成等同于当前格挡值的伤害。</x:v>
      </x:c>
      <x:c r="K11" s="573" t="str">
        <x:v>格挡转伤害</x:v>
      </x:c>
      <x:c r="L11" s="573" t="str">
        <x:v>卡池=战士普通卡；类型=攻击；稀有度=普通；费用=1→0；目标=单体敌人；基础效果=造成等同于当前格挡值的伤害。；升级效果=费用降为0；造成等同于当前格挡值的伤害。；关键词=格挡转伤害</x:v>
      </x:c>
      <x:c r="M11" s="572" t="n">
        <x:v>0</x:v>
      </x:c>
      <x:c r="N11" s="573" t="str">
        <x:v>0（未发现开服后官方稀有度变更记录）</x:v>
      </x:c>
      <x:c r="O11" s="1597" t="str">
        <x:v>千鸟·落雷</x:v>
      </x:c>
      <x:c r="P11" s="1602" t="str">
        <x:v>千鸟·落雷</x:v>
      </x:c>
      <x:c r="Q11" s="1603" t="str">
        <x:v>正式招式名原样采用</x:v>
      </x:c>
      <x:c r="R11" s="1604" t="str">
        <x:v>核心目录</x:v>
      </x:c>
      <x:c r="S11" s="1134" t="str">
        <x:v>T2 进阶</x:v>
      </x:c>
      <x:c r="T11" s="784" t="str">
        <x:v>《究极风暴》白衣/Hebi佐助空中雷遁附剑下砸动作。</x:v>
      </x:c>
      <x:c r="U11" s="1610" t="str">
        <x:v>无</x:v>
      </x:c>
      <x:c r="V11" s="1611" t="str">
        <x:v>本牌不得开启、延长或强化敌人/场景的写轮眼解析。阶段4角色自身红眼常驻属于形态表现，不代表本牌触发易伤解析。</x:v>
      </x:c>
      <x:c r="W11" s="1003" t="str">
        <x:v>合理性：伤害完全取决于现有格挡，适合表现为将防御查克拉集中到肩、剑鞘或雷遁突进中一次释放。联动：主要承接 Defend、Blood Wall、Flame Barrier、Impervious、Barricade、Tank 和 Demonic Shield，是防御体系的进攻终点。</x:v>
      </x:c>
      <x:c r="X11" s="1003" t="str">
        <x:v>强度定位：T2 进阶。稀有度=普通，费用=1→0，效果核心为“造成等同于当前格挡值的伤害。”。中等数值或机制启动牌；使用进阶剑术、火遁、雷遁、忍具或咒印一阶段等表达，但避免最高奥义措辞。 因此采用“千鸟·落雷”，避免名称强度高于或低于卡牌实际表现。</x:v>
      </x:c>
      <x:c r="Y11" s="1002" t="str">
        <x:v>Chidori: Lightning Strike / 千鳥・落雷</x:v>
      </x:c>
      <x:c r="Z11" s="1004" t="str">
        <x:v>究极风暴正式招式</x:v>
      </x:c>
      <x:c r="AA11" s="587" t="str">
        <x:v>面板名“千鸟·落雷”保留“千鸟·落雷”的核心识别词或完整正式名。新增后缀仅用于反映卡牌机制与区分动作，不冒充新的官方招式。</x:v>
      </x:c>
      <x:c r="AB11" s="587" t="str">
        <x:v>https://naruto-ultimate-ninja-storm.fandom.com/wiki/Sasuke_Uchiha/Move_List</x:v>
      </x:c>
      <x:c r="AC11" s="572" t="str">
        <x:v>否</x:v>
      </x:c>
      <x:c r="AD11" s="573" t="str">
        <x:v>—</x:v>
      </x:c>
      <x:c r="AE11" s="587" t="str">
        <x:v>研究用候选ID；待最新 public-beta 本地审计</x:v>
      </x:c>
      <x:c r="AF11" s="573" t="str">
        <x:v>https://slaythespire.wiki.gg/wiki/Module%3ACards/StS2_data/Ironclad</x:v>
      </x:c>
      <x:c r="AG11" s="1563"/>
      <x:c r="AH11" s="573" t="str">
        <x:v>https://slaythespire.wiki.gg/wiki/Module%3ACards/StS2_data/Ironclad</x:v>
      </x:c>
      <x:c r="AI11" s="1292"/>
    </x:row>
    <x:row r="12" ht="106" customHeight="1">
      <x:c r="A12" s="1562" t="n">
        <x:v>8</x:v>
      </x:c>
      <x:c r="B12" s="572" t="str">
        <x:v>战士普通卡</x:v>
      </x:c>
      <x:c r="C12" s="573" t="str">
        <x:v>突破</x:v>
      </x:c>
      <x:c r="D12" s="572" t="str">
        <x:v>Breakthrough</x:v>
      </x:c>
      <x:c r="E12" s="573" t="str">
        <x:v>Breakthrough</x:v>
      </x:c>
      <x:c r="F12" s="572" t="str">
        <x:v>普通</x:v>
      </x:c>
      <x:c r="G12" s="572" t="str">
        <x:v>1</x:v>
      </x:c>
      <x:c r="H12" s="572" t="str">
        <x:v>攻击</x:v>
      </x:c>
      <x:c r="I12" s="573" t="str">
        <x:v>失去1点生命；对所有敌人造成9点伤害。</x:v>
      </x:c>
      <x:c r="J12" s="573" t="str">
        <x:v>失去1点生命；对所有敌人造成13点伤害。</x:v>
      </x:c>
      <x:c r="K12" s="573" t="str">
        <x:v>自损；群体伤害；战损阈值</x:v>
      </x:c>
      <x:c r="L12" s="573" t="str">
        <x:v>卡池=战士普通卡；类型=攻击；稀有度=普通；费用=1；目标=所有敌人；基础效果=失去1点生命；对所有敌人造成9点伤害。；升级效果=失去1点生命；对所有敌人造成13点伤害。；关键词=自损；群体伤害；战损阈值</x:v>
      </x:c>
      <x:c r="M12" s="572" t="n">
        <x:v>0</x:v>
      </x:c>
      <x:c r="N12" s="573" t="str">
        <x:v>0（未发现开服后官方稀有度变更记录）</x:v>
      </x:c>
      <x:c r="O12" s="1597" t="str">
        <x:v>千鸟流·突围</x:v>
      </x:c>
      <x:c r="P12" s="1602" t="str">
        <x:v>千鸟流</x:v>
      </x:c>
      <x:c r="Q12" s="1603" t="str">
        <x:v>原著识别型项目命名（基于“千鸟流”）</x:v>
      </x:c>
      <x:c r="R12" s="1604" t="str">
        <x:v>核心目录</x:v>
      </x:c>
      <x:c r="S12" s="1134" t="str">
        <x:v>T2 进阶</x:v>
      </x:c>
      <x:c r="T12" s="784" t="str">
        <x:v>白衣/Hebi代表性周身放电招式，兼具攻击与防御。</x:v>
      </x:c>
      <x:c r="U12" s="1610" t="str">
        <x:v>无</x:v>
      </x:c>
      <x:c r="V12" s="1611" t="str">
        <x:v>本牌不得开启、延长或强化敌人/场景的写轮眼解析。阶段4角色自身红眼常驻属于形态表现，不代表本牌触发易伤解析。</x:v>
      </x:c>
      <x:c r="W12" s="1003" t="str">
        <x:v>合理性：以1点自损换取群体伤害，适合佐助让千鸟流·突围穿过自身后向四周爆发，既危险又能突围。联动：自损会驱动 Rupture、Spite、Inferno 和 Tear Asunder，并可在生命值跌破50%时锁定战损美化。</x:v>
      </x:c>
      <x:c r="X12" s="1003" t="str">
        <x:v>强度定位：T2 进阶。稀有度=普通，费用=1，效果核心为“失去1点生命；对所有敌人造成9点伤害。”。中等数值或机制启动牌；使用进阶剑术、火遁、雷遁、忍具或咒印一阶段等表达，但避免最高奥义措辞。 因此采用“千鸟流·突围”，避免名称强度高于或低于卡牌实际表现。</x:v>
      </x:c>
      <x:c r="Y12" s="1002" t="str">
        <x:v>Chidori Current / 千鳥流し</x:v>
      </x:c>
      <x:c r="Z12" s="1004" t="str">
        <x:v>原作漫画、动画、资料书、究极风暴</x:v>
      </x:c>
      <x:c r="AA12" s="587" t="str">
        <x:v>面板名“千鸟流·突围”保留“千鸟流”的核心识别词或完整正式名。新增后缀仅用于反映卡牌机制与区分动作，不冒充新的官方招式。</x:v>
      </x:c>
      <x:c r="AB12" s="587" t="str">
        <x:v>https://naruto.fandom.com/wiki/Chidori_Current</x:v>
      </x:c>
      <x:c r="AC12" s="572" t="str">
        <x:v>否</x:v>
      </x:c>
      <x:c r="AD12" s="573" t="str">
        <x:v>—</x:v>
      </x:c>
      <x:c r="AE12" s="587" t="str">
        <x:v>研究用候选ID；待最新 public-beta 本地审计</x:v>
      </x:c>
      <x:c r="AF12" s="573" t="str">
        <x:v>https://slaythespire.wiki.gg/wiki/Module%3ACards/StS2_data/Ironclad</x:v>
      </x:c>
      <x:c r="AG12" s="1563"/>
      <x:c r="AH12" s="573" t="str">
        <x:v>https://slaythespire.wiki.gg/wiki/Module%3ACards/StS2_data/Ironclad</x:v>
      </x:c>
      <x:c r="AI12" s="1292"/>
    </x:row>
    <x:row r="13" ht="106" customHeight="1">
      <x:c r="A13" s="1562" t="n">
        <x:v>9</x:v>
      </x:c>
      <x:c r="B13" s="572" t="str">
        <x:v>战士普通卡</x:v>
      </x:c>
      <x:c r="C13" s="573" t="str">
        <x:v>余烬</x:v>
      </x:c>
      <x:c r="D13" s="572" t="str">
        <x:v>Cinder</x:v>
      </x:c>
      <x:c r="E13" s="573" t="str">
        <x:v>Cinder</x:v>
      </x:c>
      <x:c r="F13" s="572" t="str">
        <x:v>普通</x:v>
      </x:c>
      <x:c r="G13" s="572" t="str">
        <x:v>2</x:v>
      </x:c>
      <x:c r="H13" s="572" t="str">
        <x:v>攻击</x:v>
      </x:c>
      <x:c r="I13" s="573" t="str">
        <x:v>造成18点伤害；随机消耗手牌中的1张牌。</x:v>
      </x:c>
      <x:c r="J13" s="573" t="str">
        <x:v>造成24点伤害；随机消耗手牌中的1张牌。</x:v>
      </x:c>
      <x:c r="K13" s="573" t="str">
        <x:v>伤害；消耗</x:v>
      </x:c>
      <x:c r="L13" s="573" t="str">
        <x:v>卡池=战士普通卡；类型=攻击；稀有度=普通；费用=2；目标=单体敌人；基础效果=造成18点伤害；随机消耗手牌中的1张牌。；升级效果=造成24点伤害；随机消耗手牌中的1张牌。；关键词=伤害；消耗</x:v>
      </x:c>
      <x:c r="M13" s="572" t="n">
        <x:v>0</x:v>
      </x:c>
      <x:c r="N13" s="573" t="str">
        <x:v>0（未发现开服后官方稀有度变更记录）</x:v>
      </x:c>
      <x:c r="O13" s="1597" t="str">
        <x:v>火遁·豪火球之术·落火</x:v>
      </x:c>
      <x:c r="P13" s="1602" t="str">
        <x:v>火遁·豪火球之术·落火</x:v>
      </x:c>
      <x:c r="Q13" s="1603" t="str">
        <x:v>正式招式名原样采用</x:v>
      </x:c>
      <x:c r="R13" s="1604" t="str">
        <x:v>补回目录</x:v>
      </x:c>
      <x:c r="S13" s="1134" t="str">
        <x:v>T2 进阶</x:v>
      </x:c>
      <x:c r="T13" s="784" t="str">
        <x:v>《究极风暴》白衣/Hebi佐助的剑术连段收尾招式。</x:v>
      </x:c>
      <x:c r="U13" s="1610" t="str">
        <x:v>无</x:v>
      </x:c>
      <x:c r="V13" s="1611" t="str">
        <x:v>本牌不得开启、延长或强化敌人/场景的写轮眼解析。阶段4角色自身红眼常驻属于形态表现，不代表本牌触发易伤解析。</x:v>
      </x:c>
      <x:c r="W13" s="1003" t="str">
        <x:v>合理性：高伤害同时随机消耗手牌，可表现为豪火球吞入一张卡牌残影并留下持续燃烧的余焰。联动：消耗触发 Feel No Pain、Dark Embrace、Evil Eye、Forgotten Ritual，并为 Ashen Strike、Pact's End 与 Midnight 积累资源。</x:v>
      </x:c>
      <x:c r="X13" s="1003" t="str">
        <x:v>强度定位：T2 进阶。稀有度=普通，费用=2，效果核心为“造成18点伤害；随机消耗手牌中的1张牌。”。中等数值或机制启动牌；使用进阶剑术、火遁、雷遁、忍具或咒印一阶段等表达，但避免最高奥义措辞。 因此采用“火遁·豪火球之术·落火”，避免名称强度高于或低于卡牌实际表现。</x:v>
      </x:c>
      <x:c r="Y13" s="1002" t="str">
        <x:v>Fire Release: Great Fireball Technique: Falling Fire / 火遁・豪火球の術・落火</x:v>
      </x:c>
      <x:c r="Z13" s="1004" t="str">
        <x:v>究极风暴正式招式</x:v>
      </x:c>
      <x:c r="AA13" s="587" t="str">
        <x:v>面板名“火遁·豪火球之术·落火”保留“火遁·豪火球之术·落火”的核心识别词或完整正式名。新增后缀仅用于反映卡牌机制与区分动作，不冒充新的官方招式。</x:v>
      </x:c>
      <x:c r="AB13" s="587" t="str">
        <x:v>https://naruto.fandom.com/wiki/Fire_Release%3A_Great_Fireball_Technique%3A_Falling_Fire</x:v>
      </x:c>
      <x:c r="AC13" s="572" t="str">
        <x:v>否</x:v>
      </x:c>
      <x:c r="AD13" s="573" t="str">
        <x:v>—</x:v>
      </x:c>
      <x:c r="AE13" s="587" t="str">
        <x:v>研究用候选ID；待最新 public-beta 本地审计</x:v>
      </x:c>
      <x:c r="AF13" s="573" t="str">
        <x:v>https://slaythespire.wiki.gg/wiki/Module%3ACards/StS2_data/Ironclad</x:v>
      </x:c>
      <x:c r="AG13" s="1563"/>
      <x:c r="AH13" s="573" t="str">
        <x:v>https://slaythespire.wiki.gg/wiki/Module%3ACards/StS2_data/Ironclad</x:v>
      </x:c>
      <x:c r="AI13" s="1292"/>
    </x:row>
    <x:row r="14" ht="106" customHeight="1">
      <x:c r="A14" s="1562" t="n">
        <x:v>10</x:v>
      </x:c>
      <x:c r="B14" s="572" t="str">
        <x:v>战士普通卡</x:v>
      </x:c>
      <x:c r="C14" s="573" t="str">
        <x:v>浩劫</x:v>
      </x:c>
      <x:c r="D14" s="572" t="str">
        <x:v>Havoc</x:v>
      </x:c>
      <x:c r="E14" s="573" t="str">
        <x:v>Havoc</x:v>
      </x:c>
      <x:c r="F14" s="572" t="str">
        <x:v>普通</x:v>
      </x:c>
      <x:c r="G14" s="572" t="str">
        <x:v>1→0</x:v>
      </x:c>
      <x:c r="H14" s="572" t="str">
        <x:v>技能</x:v>
      </x:c>
      <x:c r="I14" s="573" t="str">
        <x:v>打出抽牌堆顶牌并将其消耗。</x:v>
      </x:c>
      <x:c r="J14" s="573" t="str">
        <x:v>费用降为0；打出抽牌堆顶牌并将其消耗。</x:v>
      </x:c>
      <x:c r="K14" s="573" t="str">
        <x:v>自动打出；消耗</x:v>
      </x:c>
      <x:c r="L14" s="573" t="str">
        <x:v>卡池=战士普通卡；类型=技能；稀有度=普通；费用=1→0；目标=抽牌堆顶牌；基础效果=打出抽牌堆顶牌并将其消耗。；升级效果=费用降为0；打出抽牌堆顶牌并将其消耗。；关键词=自动打出；消耗</x:v>
      </x:c>
      <x:c r="M14" s="572" t="n">
        <x:v>0</x:v>
      </x:c>
      <x:c r="N14" s="573" t="str">
        <x:v>0（未发现开服后官方稀有度变更记录）</x:v>
      </x:c>
      <x:c r="O14" s="1597" t="str">
        <x:v>咒印·暴流</x:v>
      </x:c>
      <x:c r="P14" s="1602" t="str">
        <x:v>天之咒印</x:v>
      </x:c>
      <x:c r="Q14" s="1603" t="str">
        <x:v>原著识别型项目命名（基于“天之咒印”）</x:v>
      </x:c>
      <x:c r="R14" s="1604" t="str">
        <x:v>核心目录</x:v>
      </x:c>
      <x:c r="S14" s="1134" t="str">
        <x:v>T2 进阶</x:v>
      </x:c>
      <x:c r="T14" s="784" t="str">
        <x:v>白衣/Hebi对大蛇丸、迪达拉及鼬的战斗中实际激活。</x:v>
      </x:c>
      <x:c r="U14" s="1610" t="str">
        <x:v>无</x:v>
      </x:c>
      <x:c r="V14" s="1611" t="str">
        <x:v>本牌不得开启、延长或强化敌人/场景的写轮眼解析。阶段4角色自身红眼常驻属于形态表现，不代表本牌触发易伤解析。</x:v>
      </x:c>
      <x:c r="W14" s="1003" t="str">
        <x:v>合理性：直接打出牌堆顶并将其消耗，符合咒印力量失控涌出、强行释放尚未完全掌控忍术的感觉。联动：可同时触发 Feel No Pain、Dark Embrace、Ashen Strike、Pact's End 和 Midnight；与 Headbutt 的置顶能力形成可控组合。</x:v>
      </x:c>
      <x:c r="X14" s="1003" t="str">
        <x:v>强度定位：T2 进阶。稀有度=普通，费用=1→0，效果核心为“打出抽牌堆顶牌并将其消耗。”。中等数值或机制启动牌；使用进阶剑术、火遁、雷遁、忍具或咒印一阶段等表达，但避免最高奥义措辞。 因此采用“咒印·暴流”，避免名称强度高于或低于卡牌实际表现。</x:v>
      </x:c>
      <x:c r="Y14" s="1002" t="str">
        <x:v>Cursed Seal of Heaven / 天の呪印</x:v>
      </x:c>
      <x:c r="Z14" s="1004" t="str">
        <x:v>原作状态/能力</x:v>
      </x:c>
      <x:c r="AA14" s="587" t="str">
        <x:v>面板名“咒印·暴流”保留“天之咒印”的核心识别词或完整正式名。新增后缀仅用于反映卡牌机制与区分动作，不冒充新的官方招式。</x:v>
      </x:c>
      <x:c r="AB14" s="587" t="str">
        <x:v>https://naruto.fandom.com/wiki/Cursed_Seal_of_Heaven</x:v>
      </x:c>
      <x:c r="AC14" s="572" t="str">
        <x:v>否</x:v>
      </x:c>
      <x:c r="AD14" s="573" t="str">
        <x:v>—</x:v>
      </x:c>
      <x:c r="AE14" s="587" t="str">
        <x:v>研究用候选ID；待最新 public-beta 本地审计</x:v>
      </x:c>
      <x:c r="AF14" s="573" t="str">
        <x:v>https://slaythespire.wiki.gg/wiki/Module%3ACards/StS2_data/Ironclad</x:v>
      </x:c>
      <x:c r="AG14" s="1563"/>
      <x:c r="AH14" s="573" t="str">
        <x:v>https://slaythespire.wiki.gg/wiki/Module%3ACards/StS2_data/Ironclad</x:v>
      </x:c>
      <x:c r="AI14" s="1292"/>
    </x:row>
    <x:row r="15" ht="106" customHeight="1">
      <x:c r="A15" s="1562" t="n">
        <x:v>11</x:v>
      </x:c>
      <x:c r="B15" s="572" t="str">
        <x:v>战士普通卡</x:v>
      </x:c>
      <x:c r="C15" s="573" t="str">
        <x:v>头槌</x:v>
      </x:c>
      <x:c r="D15" s="572" t="str">
        <x:v>Headbutt</x:v>
      </x:c>
      <x:c r="E15" s="573" t="str">
        <x:v>Headbutt</x:v>
      </x:c>
      <x:c r="F15" s="572" t="str">
        <x:v>普通</x:v>
      </x:c>
      <x:c r="G15" s="572" t="str">
        <x:v>1</x:v>
      </x:c>
      <x:c r="H15" s="572" t="str">
        <x:v>攻击</x:v>
      </x:c>
      <x:c r="I15" s="573" t="str">
        <x:v>造成9点伤害；将弃牌堆中的1张牌放到抽牌堆顶。</x:v>
      </x:c>
      <x:c r="J15" s="573" t="str">
        <x:v>造成12点伤害；将弃牌堆中的1张牌放到抽牌堆顶。</x:v>
      </x:c>
      <x:c r="K15" s="573" t="str">
        <x:v>伤害；回收</x:v>
      </x:c>
      <x:c r="L15" s="573" t="str">
        <x:v>卡池=战士普通卡；类型=攻击；稀有度=普通；费用=1；目标=单体敌人；基础效果=造成9点伤害；将弃牌堆中的1张牌放到抽牌堆顶。；升级效果=造成12点伤害；将弃牌堆中的1张牌放到抽牌堆顶。；关键词=伤害；回收</x:v>
      </x:c>
      <x:c r="M15" s="572" t="n">
        <x:v>0</x:v>
      </x:c>
      <x:c r="N15" s="573" t="str">
        <x:v>0（未发现开服后官方稀有度变更记录）</x:v>
      </x:c>
      <x:c r="O15" s="1597" t="str">
        <x:v>雷光狮子连弹·冲膝</x:v>
      </x:c>
      <x:c r="P15" s="1602" t="str">
        <x:v>雷光狮子连弹</x:v>
      </x:c>
      <x:c r="Q15" s="1603" t="str">
        <x:v>原著识别型项目命名（基于“雷光狮子连弹”）</x:v>
      </x:c>
      <x:c r="R15" s="1604" t="str">
        <x:v>核心目录</x:v>
      </x:c>
      <x:c r="S15" s="1134" t="str">
        <x:v>T1 基础</x:v>
      </x:c>
      <x:c r="T15" s="784" t="str">
        <x:v>《究极风暴》白衣/Hebi佐助的雷遁体术连段。</x:v>
      </x:c>
      <x:c r="U15" s="1610" t="str">
        <x:v>无</x:v>
      </x:c>
      <x:c r="V15" s="1611" t="str">
        <x:v>本牌不得开启、延长或强化敌人/场景的写轮眼解析。阶段4角色自身红眼常驻属于形态表现，不代表本牌触发易伤解析。</x:v>
      </x:c>
      <x:c r="W15" s="1003" t="str">
        <x:v>合理性：造成伤害后把弃牌堆中的牌放回牌堆顶，适合以雷光体术冲膝打乱敌人，再调整战斗节奏取回上一招。联动：可回收 Demon Form、Bash、Rampage、Offering，并为 Havoc、Cascade 控制牌堆顶。</x:v>
      </x:c>
      <x:c r="X15" s="1003" t="str">
        <x:v>强度定位：T1 基础。稀有度=普通，费用=1，效果核心为“造成9点伤害；将弃牌堆中的1张牌放到抽牌堆顶。”。基础牌或低费用单一效果；名称只使用普通剑术、手里剑、基础体术或低强度战术词，不使用变身、奥义和终结级词汇。 因此采用“雷光狮子连弹·冲膝”，避免名称强度高于或低于卡牌实际表现。</x:v>
      </x:c>
      <x:c r="Y15" s="1002" t="str">
        <x:v>Lightning Lions Barrage / 雷光獅子連弾</x:v>
      </x:c>
      <x:c r="Z15" s="1004" t="str">
        <x:v>究极风暴正式招式</x:v>
      </x:c>
      <x:c r="AA15" s="587" t="str">
        <x:v>面板名“雷光狮子连弹·冲膝”保留“雷光狮子连弹”的核心识别词或完整正式名。新增后缀仅用于反映卡牌机制与区分动作，不冒充新的官方招式。</x:v>
      </x:c>
      <x:c r="AB15" s="587" t="str">
        <x:v>https://naruto-ultimate-ninja-storm.fandom.com/wiki/Sasuke_Uchiha/Move_List</x:v>
      </x:c>
      <x:c r="AC15" s="572" t="str">
        <x:v>否</x:v>
      </x:c>
      <x:c r="AD15" s="573" t="str">
        <x:v>—</x:v>
      </x:c>
      <x:c r="AE15" s="587" t="str">
        <x:v>研究用候选ID；待最新 public-beta 本地审计</x:v>
      </x:c>
      <x:c r="AF15" s="573" t="str">
        <x:v>https://slaythespire.wiki.gg/wiki/Module%3ACards/StS2_data/Ironclad</x:v>
      </x:c>
      <x:c r="AG15" s="1563"/>
      <x:c r="AH15" s="573" t="str">
        <x:v>https://slaythespire.wiki.gg/wiki/Module%3ACards/StS2_data/Ironclad</x:v>
      </x:c>
      <x:c r="AI15" s="1292"/>
    </x:row>
    <x:row r="16" ht="106" customHeight="1">
      <x:c r="A16" s="1562" t="n">
        <x:v>12</x:v>
      </x:c>
      <x:c r="B16" s="572" t="str">
        <x:v>战士普通卡</x:v>
      </x:c>
      <x:c r="C16" s="573" t="str">
        <x:v>铁斩波</x:v>
      </x:c>
      <x:c r="D16" s="572" t="str">
        <x:v>IronWave</x:v>
      </x:c>
      <x:c r="E16" s="573" t="str">
        <x:v>Iron Wave</x:v>
      </x:c>
      <x:c r="F16" s="572" t="str">
        <x:v>普通</x:v>
      </x:c>
      <x:c r="G16" s="572" t="str">
        <x:v>1</x:v>
      </x:c>
      <x:c r="H16" s="572" t="str">
        <x:v>攻击</x:v>
      </x:c>
      <x:c r="I16" s="573" t="str">
        <x:v>获得5点格挡；造成5点伤害。</x:v>
      </x:c>
      <x:c r="J16" s="573" t="str">
        <x:v>获得7点格挡；造成7点伤害。</x:v>
      </x:c>
      <x:c r="K16" s="573" t="str">
        <x:v>格挡；伤害</x:v>
      </x:c>
      <x:c r="L16" s="573" t="str">
        <x:v>卡池=战士普通卡；类型=攻击；稀有度=普通；费用=1；目标=单体敌人/自身；基础效果=获得5点格挡；造成5点伤害。；升级效果=获得7点格挡；造成7点伤害。；关键词=格挡；伤害</x:v>
      </x:c>
      <x:c r="M16" s="572" t="n">
        <x:v>0</x:v>
      </x:c>
      <x:c r="N16" s="573" t="str">
        <x:v>0（未发现开服后官方稀有度变更记录）</x:v>
      </x:c>
      <x:c r="O16" s="1597" t="str">
        <x:v>草薙剑·千鸟刀</x:v>
      </x:c>
      <x:c r="P16" s="1602" t="str">
        <x:v>草薙剑·千鸟刀</x:v>
      </x:c>
      <x:c r="Q16" s="1603" t="str">
        <x:v>正式招式名原样采用</x:v>
      </x:c>
      <x:c r="R16" s="1604" t="str">
        <x:v>核心目录</x:v>
      </x:c>
      <x:c r="S16" s="1134" t="str">
        <x:v>T2 进阶</x:v>
      </x:c>
      <x:c r="T16" s="784" t="str">
        <x:v>白衣/Hebi与兄弟之战实际使用的雷遁附剑体系。</x:v>
      </x:c>
      <x:c r="U16" s="1610" t="str">
        <x:v>无</x:v>
      </x:c>
      <x:c r="V16" s="1611" t="str">
        <x:v>本牌不得开启、延长或强化敌人/场景的写轮眼解析。阶段4角色自身红眼常驻属于形态表现，不代表本牌触发易伤解析。</x:v>
      </x:c>
      <x:c r="W16" s="1003" t="str">
        <x:v>合理性：同时获得格挡并造成等量伤害，适合草薙剑挥出雷遁剑波，前段形成电弧护体、后段切向目标。联动：同时计入攻击与格挡体系，可触发 Rage、Juggernaut，并为 Body Slam 与 Barricade积累资源。</x:v>
      </x:c>
      <x:c r="X16" s="1003" t="str">
        <x:v>强度定位：T2 进阶。稀有度=普通，费用=1，效果核心为“获得5点格挡；造成5点伤害。”。中等数值或机制启动牌；使用进阶剑术、火遁、雷遁、忍具或咒印一阶段等表达，但避免最高奥义措辞。 因此采用“草薙剑·千鸟刀”，避免名称强度高于或低于卡牌实际表现。</x:v>
      </x:c>
      <x:c r="Y16" s="1002" t="str">
        <x:v>Sword of Kusanagi: Chidori Katana / 草薙の剣・千鳥刀</x:v>
      </x:c>
      <x:c r="Z16" s="1004" t="str">
        <x:v>原作漫画、动画、资料书</x:v>
      </x:c>
      <x:c r="AA16" s="587" t="str">
        <x:v>面板名“草薙剑·千鸟刀”保留“草薙剑·千鸟刀”的核心识别词或完整正式名。新增后缀仅用于反映卡牌机制与区分动作，不冒充新的官方招式。</x:v>
      </x:c>
      <x:c r="AB16" s="587" t="str">
        <x:v>https://naruto.fandom.com/wiki/Chidori_Current</x:v>
      </x:c>
      <x:c r="AC16" s="572" t="str">
        <x:v>否</x:v>
      </x:c>
      <x:c r="AD16" s="573" t="str">
        <x:v>—</x:v>
      </x:c>
      <x:c r="AE16" s="587" t="str">
        <x:v>研究用候选ID；待最新 public-beta 本地审计</x:v>
      </x:c>
      <x:c r="AF16" s="573" t="str">
        <x:v>https://slaythespire.wiki.gg/wiki/Module%3ACards/StS2_data/Ironclad</x:v>
      </x:c>
      <x:c r="AG16" s="1563"/>
      <x:c r="AH16" s="573" t="str">
        <x:v>https://slaythespire.wiki.gg/wiki/Module%3ACards/StS2_data/Ironclad</x:v>
      </x:c>
      <x:c r="AI16" s="1292"/>
    </x:row>
    <x:row r="17" ht="106" customHeight="1">
      <x:c r="A17" s="1562" t="n">
        <x:v>13</x:v>
      </x:c>
      <x:c r="B17" s="572" t="str">
        <x:v>战士普通卡</x:v>
      </x:c>
      <x:c r="C17" s="573" t="str">
        <x:v>熔火拳</x:v>
      </x:c>
      <x:c r="D17" s="572" t="str">
        <x:v>MoltenFist</x:v>
      </x:c>
      <x:c r="E17" s="573" t="str">
        <x:v>Molten Fist</x:v>
      </x:c>
      <x:c r="F17" s="572" t="str">
        <x:v>普通</x:v>
      </x:c>
      <x:c r="G17" s="572" t="str">
        <x:v>1</x:v>
      </x:c>
      <x:c r="H17" s="572" t="str">
        <x:v>攻击</x:v>
      </x:c>
      <x:c r="I17" s="573" t="str">
        <x:v>造成10点伤害；使目标现有易伤层数翻倍；消耗。</x:v>
      </x:c>
      <x:c r="J17" s="573" t="str">
        <x:v>造成14点伤害；使目标现有易伤层数翻倍；消耗。</x:v>
      </x:c>
      <x:c r="K17" s="573" t="str">
        <x:v>伤害；易伤增幅；消耗；写轮眼关联</x:v>
      </x:c>
      <x:c r="L17" s="573" t="str">
        <x:v>卡池=战士普通卡；类型=攻击；稀有度=普通；费用=1；目标=单体敌人；基础效果=造成10点伤害；使目标现有易伤层数翻倍；消耗。；升级效果=造成14点伤害；使目标现有易伤层数翻倍；消耗。；关键词=伤害；易伤增幅；消耗；写轮眼关联</x:v>
      </x:c>
      <x:c r="M17" s="572" t="n">
        <x:v>0</x:v>
      </x:c>
      <x:c r="N17" s="573" t="str">
        <x:v>0（未发现开服后官方稀有度变更记录）</x:v>
      </x:c>
      <x:c r="O17" s="1597" t="str">
        <x:v>写轮眼·裂隙拳</x:v>
      </x:c>
      <x:c r="P17" s="1602" t="str">
        <x:v>写轮眼</x:v>
      </x:c>
      <x:c r="Q17" s="1603" t="str">
        <x:v>原著识别型项目命名（基于“写轮眼”）</x:v>
      </x:c>
      <x:c r="R17" s="1604" t="str">
        <x:v>核心目录</x:v>
      </x:c>
      <x:c r="S17" s="1134" t="str">
        <x:v>T2 进阶</x:v>
      </x:c>
      <x:c r="T17" s="784" t="str">
        <x:v>白衣/Hebi与兄弟之战中实际开启，用于观察、预判和幻术。</x:v>
      </x:c>
      <x:c r="U17" s="1610" t="str">
        <x:v>易伤增幅｜强化解析</x:v>
      </x:c>
      <x:c r="V17" s="1611" t="str">
        <x:v>仅当目标已有易伤时强化写轮眼解析：勾玉旋转加速、弱点标记加深，并在易伤层数翻倍后刷新持续时间；目标无易伤时不得开启解析。</x:v>
      </x:c>
      <x:c r="W17" s="1003" t="str">
        <x:v>合理性：只强化目标已有易伤而不负责首次发现破绽，因此以火遁与雷遁包裹拳击，猛击写轮眼已标出的弱点最合理。联动：必须接在 Bash、Taunt、Thunderclap、Tremble、Uppercut 或 Dominate 后，随后继续增强 Bully、Dismantle 与 Cruelty。</x:v>
      </x:c>
      <x:c r="X17" s="1003" t="str">
        <x:v>强度定位：T2 进阶。稀有度=普通，费用=1，效果核心为“造成10点伤害；使目标现有易伤层数翻倍；消耗。”。中等数值或机制启动牌；使用进阶剑术、火遁、雷遁、忍具或咒印一阶段等表达，但避免最高奥义措辞。 因此采用“写轮眼·裂隙拳”，避免名称强度高于或低于卡牌实际表现。</x:v>
      </x:c>
      <x:c r="Y17" s="1002" t="str">
        <x:v>Sharingan / 写輪眼</x:v>
      </x:c>
      <x:c r="Z17" s="1004" t="str">
        <x:v>原作漫画、动画、资料书</x:v>
      </x:c>
      <x:c r="AA17" s="587" t="str">
        <x:v>面板名“写轮眼·裂隙拳”保留“写轮眼”的核心识别词或完整正式名。新增后缀仅用于反映卡牌机制与区分动作，不冒充新的官方招式。</x:v>
      </x:c>
      <x:c r="AB17" s="587" t="str">
        <x:v>https://naruto.fandom.com/wiki/Sasuke_Uchiha</x:v>
      </x:c>
      <x:c r="AC17" s="572" t="str">
        <x:v>否</x:v>
      </x:c>
      <x:c r="AD17" s="573" t="str">
        <x:v>—</x:v>
      </x:c>
      <x:c r="AE17" s="587" t="str">
        <x:v>研究用候选ID；待最新 public-beta 本地审计</x:v>
      </x:c>
      <x:c r="AF17" s="573" t="str">
        <x:v>https://slaythespire.wiki.gg/wiki/Module%3ACards/StS2_data/Ironclad</x:v>
      </x:c>
      <x:c r="AG17" s="1563"/>
      <x:c r="AH17" s="573" t="str">
        <x:v>https://slaythespire.wiki.gg/wiki/Module%3ACards/StS2_data/Ironclad</x:v>
      </x:c>
      <x:c r="AI17" s="1292"/>
    </x:row>
    <x:row r="18" ht="106" customHeight="1">
      <x:c r="A18" s="1562" t="n">
        <x:v>14</x:v>
      </x:c>
      <x:c r="B18" s="572" t="str">
        <x:v>战士普通卡</x:v>
      </x:c>
      <x:c r="C18" s="573" t="str">
        <x:v>完美打击</x:v>
      </x:c>
      <x:c r="D18" s="572" t="str">
        <x:v>PerfectedStrike</x:v>
      </x:c>
      <x:c r="E18" s="573" t="str">
        <x:v>Perfected Strike</x:v>
      </x:c>
      <x:c r="F18" s="572" t="str">
        <x:v>普通</x:v>
      </x:c>
      <x:c r="G18" s="572" t="str">
        <x:v>2</x:v>
      </x:c>
      <x:c r="H18" s="572" t="str">
        <x:v>攻击</x:v>
      </x:c>
      <x:c r="I18" s="573" t="str">
        <x:v>造成6点伤害；每张名称含“Strike”的牌额外造成2点伤害。</x:v>
      </x:c>
      <x:c r="J18" s="573" t="str">
        <x:v>造成6点伤害；每张名称含“Strike”的牌额外造成3点伤害。</x:v>
      </x:c>
      <x:c r="K18" s="573" t="str">
        <x:v>打击体系；伤害成长</x:v>
      </x:c>
      <x:c r="L18" s="573" t="str">
        <x:v>卡池=战士普通卡；类型=攻击；稀有度=普通；费用=2；目标=单体敌人；基础效果=造成6点伤害；每张名称含“Strike”的牌额外造成2点伤害。；升级效果=造成6点伤害；每张名称含“Strike”的牌额外造成3点伤害。；关键词=打击体系；伤害成长</x:v>
      </x:c>
      <x:c r="M18" s="572" t="n">
        <x:v>0</x:v>
      </x:c>
      <x:c r="N18" s="573" t="str">
        <x:v>0（未发现开服后官方稀有度变更记录）</x:v>
      </x:c>
      <x:c r="O18" s="1597" t="str">
        <x:v>草薙剑·千鸟连式</x:v>
      </x:c>
      <x:c r="P18" s="1602" t="str">
        <x:v>草薙剑·千鸟刀</x:v>
      </x:c>
      <x:c r="Q18" s="1603" t="str">
        <x:v>原著识别型项目命名（基于“草薙剑·千鸟刀”）</x:v>
      </x:c>
      <x:c r="R18" s="1604" t="str">
        <x:v>核心目录</x:v>
      </x:c>
      <x:c r="S18" s="1134" t="str">
        <x:v>T3 高阶</x:v>
      </x:c>
      <x:c r="T18" s="784" t="str">
        <x:v>白衣/Hebi与兄弟之战实际使用的雷遁附剑体系。</x:v>
      </x:c>
      <x:c r="U18" s="1610" t="str">
        <x:v>无</x:v>
      </x:c>
      <x:c r="V18" s="1611" t="str">
        <x:v>本牌不得开启、延长或强化敌人/场景的写轮眼解析。阶段4角色自身红眼常驻属于形态表现，不代表本牌触发易伤解析。</x:v>
      </x:c>
      <x:c r="W18" s="1003" t="str">
        <x:v>合理性：伤害随所有 Strike 名称卡增长，适合定义为将多种草薙剑基本斩法融为一记“草薙剑·千鸟连式”。联动：与 Strike、Pommel Strike、Setup Strike、Twin Strike 共同组成剑术牌系，并可由 Hellraiser 自动串联。</x:v>
      </x:c>
      <x:c r="X18" s="1003" t="str">
        <x:v>强度定位：T3 高阶。稀有度=普通，费用=2，效果核心为“造成6点伤害；每张名称含“Strike”的牌额外造成2点伤害。”。稀有度、数值或联动价值较高；使用高阶草薙剑、千鸟变化、蛇术或强协同名称，但不占用最终变身/终结名。 因此采用“草薙剑·千鸟连式”，避免名称强度高于或低于卡牌实际表现。</x:v>
      </x:c>
      <x:c r="Y18" s="1002" t="str">
        <x:v>Sword of Kusanagi: Chidori Katana / 草薙の剣・千鳥刀</x:v>
      </x:c>
      <x:c r="Z18" s="1004" t="str">
        <x:v>原作漫画、动画、资料书</x:v>
      </x:c>
      <x:c r="AA18" s="587" t="str">
        <x:v>面板名“草薙剑·千鸟连式”保留“草薙剑·千鸟刀”的核心识别词或完整正式名。新增后缀仅用于反映卡牌机制与区分动作，不冒充新的官方招式。</x:v>
      </x:c>
      <x:c r="AB18" s="587" t="str">
        <x:v>https://naruto.fandom.com/wiki/Chidori_Current</x:v>
      </x:c>
      <x:c r="AC18" s="572" t="str">
        <x:v>否</x:v>
      </x:c>
      <x:c r="AD18" s="573" t="str">
        <x:v>—</x:v>
      </x:c>
      <x:c r="AE18" s="587" t="str">
        <x:v>研究用候选ID；待最新 public-beta 本地审计</x:v>
      </x:c>
      <x:c r="AF18" s="573" t="str">
        <x:v>https://slaythespire.wiki.gg/wiki/Module%3ACards/StS2_data/Ironclad</x:v>
      </x:c>
      <x:c r="AG18" s="1563"/>
      <x:c r="AH18" s="573" t="str">
        <x:v>https://slaythespire.wiki.gg/wiki/Module%3ACards/StS2_data/Ironclad</x:v>
      </x:c>
      <x:c r="AI18" s="1292"/>
    </x:row>
    <x:row r="19" ht="106" customHeight="1">
      <x:c r="A19" s="1562" t="n">
        <x:v>15</x:v>
      </x:c>
      <x:c r="B19" s="572" t="str">
        <x:v>战士普通卡</x:v>
      </x:c>
      <x:c r="C19" s="573" t="str">
        <x:v>剑柄打击</x:v>
      </x:c>
      <x:c r="D19" s="572" t="str">
        <x:v>PommelStrike</x:v>
      </x:c>
      <x:c r="E19" s="573" t="str">
        <x:v>Pommel Strike</x:v>
      </x:c>
      <x:c r="F19" s="572" t="str">
        <x:v>普通</x:v>
      </x:c>
      <x:c r="G19" s="572" t="str">
        <x:v>1</x:v>
      </x:c>
      <x:c r="H19" s="572" t="str">
        <x:v>攻击</x:v>
      </x:c>
      <x:c r="I19" s="573" t="str">
        <x:v>造成9点伤害；抽1张牌。</x:v>
      </x:c>
      <x:c r="J19" s="573" t="str">
        <x:v>造成10点伤害；抽2张牌。</x:v>
      </x:c>
      <x:c r="K19" s="573" t="str">
        <x:v>伤害；抽牌</x:v>
      </x:c>
      <x:c r="L19" s="573" t="str">
        <x:v>卡池=战士普通卡；类型=攻击；稀有度=普通；费用=1；目标=单体敌人；基础效果=造成9点伤害；抽1张牌。；升级效果=造成10点伤害；抽2张牌。；关键词=伤害；抽牌</x:v>
      </x:c>
      <x:c r="M19" s="572" t="n">
        <x:v>0</x:v>
      </x:c>
      <x:c r="N19" s="573" t="str">
        <x:v>0（未发现开服后官方稀有度变更记录）</x:v>
      </x:c>
      <x:c r="O19" s="1597" t="str">
        <x:v>草薙剑·柄击</x:v>
      </x:c>
      <x:c r="P19" s="1602" t="str">
        <x:v>居合</x:v>
      </x:c>
      <x:c r="Q19" s="1603" t="str">
        <x:v>原著识别型项目命名（基于“居合”）</x:v>
      </x:c>
      <x:c r="R19" s="1604" t="str">
        <x:v>动作根目录</x:v>
      </x:c>
      <x:c r="S19" s="1134" t="str">
        <x:v>T1 基础</x:v>
      </x:c>
      <x:c r="T19" s="784" t="str">
        <x:v>白衣/Hebi与兄弟之战的基础草薙剑近战体系。</x:v>
      </x:c>
      <x:c r="U19" s="1610" t="str">
        <x:v>无</x:v>
      </x:c>
      <x:c r="V19" s="1611" t="str">
        <x:v>本牌不得开启、延长或强化敌人/场景的写轮眼解析。阶段4角色自身红眼常驻属于形态表现，不代表本牌触发易伤解析。</x:v>
      </x:c>
      <x:c r="W19" s="1003" t="str">
        <x:v>合理性：刀柄打击后抽牌，表现为佐助用剑柄试探敌人、迫使其失衡并立即衔接下一种忍术。联动：为 Juggling、One-Two Punch、Expect a Fight 和攻击连段补充手牌，也纳入 Perfected Strike 与 Hellraiser 的 Strike 体系。</x:v>
      </x:c>
      <x:c r="X19" s="1003" t="str">
        <x:v>强度定位：T1 基础。稀有度=普通，费用=1，效果核心为“造成9点伤害；抽1张牌。”。基础牌或低费用单一效果；名称只使用普通剑术、手里剑、基础体术或低强度战术词，不使用变身、奥义和终结级词汇。 因此采用“草薙剑·柄击”，避免名称强度高于或低于卡牌实际表现。</x:v>
      </x:c>
      <x:c r="Y19" s="1002" t="str">
        <x:v>Iaidō / 居合</x:v>
      </x:c>
      <x:c r="Z19" s="1004" t="str">
        <x:v>原作角色招式资料</x:v>
      </x:c>
      <x:c r="AA19" s="587" t="str">
        <x:v>面板名“草薙剑·柄击”保留“居合”的核心识别词或完整正式名。新增后缀仅用于反映卡牌机制与区分动作，不冒充新的官方招式。</x:v>
      </x:c>
      <x:c r="AB19" s="587" t="str">
        <x:v>https://naruto.fandom.com/wiki/Sasuke_Uchiha</x:v>
      </x:c>
      <x:c r="AC19" s="572" t="str">
        <x:v>否</x:v>
      </x:c>
      <x:c r="AD19" s="573" t="str">
        <x:v>—</x:v>
      </x:c>
      <x:c r="AE19" s="587" t="str">
        <x:v>研究用候选ID；待最新 public-beta 本地审计</x:v>
      </x:c>
      <x:c r="AF19" s="573" t="str">
        <x:v>https://slaythespire.wiki.gg/wiki/Module%3ACards/StS2_data/Ironclad</x:v>
      </x:c>
      <x:c r="AG19" s="1563"/>
      <x:c r="AH19" s="573" t="str">
        <x:v>https://slaythespire.wiki.gg/wiki/Module%3ACards/StS2_data/Ironclad</x:v>
      </x:c>
      <x:c r="AI19" s="1292"/>
    </x:row>
    <x:row r="20" ht="106" customHeight="1">
      <x:c r="A20" s="1562" t="n">
        <x:v>16</x:v>
      </x:c>
      <x:c r="B20" s="572" t="str">
        <x:v>战士普通卡</x:v>
      </x:c>
      <x:c r="C20" s="573" t="str">
        <x:v>蓄势打击</x:v>
      </x:c>
      <x:c r="D20" s="572" t="str">
        <x:v>SetupStrike</x:v>
      </x:c>
      <x:c r="E20" s="573" t="str">
        <x:v>Setup Strike</x:v>
      </x:c>
      <x:c r="F20" s="572" t="str">
        <x:v>普通</x:v>
      </x:c>
      <x:c r="G20" s="572" t="str">
        <x:v>1</x:v>
      </x:c>
      <x:c r="H20" s="572" t="str">
        <x:v>攻击</x:v>
      </x:c>
      <x:c r="I20" s="573" t="str">
        <x:v>造成7点伤害；本回合获得3点力量。</x:v>
      </x:c>
      <x:c r="J20" s="573" t="str">
        <x:v>造成9点伤害；本回合获得4点力量。</x:v>
      </x:c>
      <x:c r="K20" s="573" t="str">
        <x:v>伤害；临时力量</x:v>
      </x:c>
      <x:c r="L20" s="573" t="str">
        <x:v>卡池=战士普通卡；类型=攻击；稀有度=普通；费用=1；目标=单体敌人；基础效果=造成7点伤害；本回合获得3点力量。；升级效果=造成9点伤害；本回合获得4点力量。；关键词=伤害；临时力量</x:v>
      </x:c>
      <x:c r="M20" s="572" t="n">
        <x:v>0</x:v>
      </x:c>
      <x:c r="N20" s="573" t="str">
        <x:v>0（未发现开服后官方稀有度变更记录）</x:v>
      </x:c>
      <x:c r="O20" s="1597" t="str">
        <x:v>千鸟刀·蓄势</x:v>
      </x:c>
      <x:c r="P20" s="1602" t="str">
        <x:v>草薙剑·千鸟刀</x:v>
      </x:c>
      <x:c r="Q20" s="1603" t="str">
        <x:v>原著识别型项目命名（基于“草薙剑·千鸟刀”）</x:v>
      </x:c>
      <x:c r="R20" s="1604" t="str">
        <x:v>核心目录</x:v>
      </x:c>
      <x:c r="S20" s="1134" t="str">
        <x:v>T1 基础</x:v>
      </x:c>
      <x:c r="T20" s="784" t="str">
        <x:v>白衣/Hebi与兄弟之战实际使用的雷遁附剑体系。</x:v>
      </x:c>
      <x:c r="U20" s="1610" t="str">
        <x:v>无</x:v>
      </x:c>
      <x:c r="V20" s="1611" t="str">
        <x:v>本牌不得开启、延长或强化敌人/场景的写轮眼解析。阶段4角色自身红眼常驻属于形态表现，不代表本牌触发易伤解析。</x:v>
      </x:c>
      <x:c r="W20" s="1003" t="str">
        <x:v>合理性：造成伤害并仅在本回合获得力量，适合以草薙剑·千鸟刀完成试探性切入，同时把雷遁压缩到后续攻击。联动：作为 Twin Strike、Sword Boomerang、Whirlwind、One-Two Punch 或 Unrelenting 的前置增幅。</x:v>
      </x:c>
      <x:c r="X20" s="1003" t="str">
        <x:v>强度定位：T1 基础。稀有度=普通，费用=1，效果核心为“造成7点伤害；本回合获得3点力量。”。基础牌或低费用单一效果；名称只使用普通剑术、手里剑、基础体术或低强度战术词，不使用变身、奥义和终结级词汇。 因此采用“千鸟刀·蓄势”，避免名称强度高于或低于卡牌实际表现。</x:v>
      </x:c>
      <x:c r="Y20" s="1002" t="str">
        <x:v>Sword of Kusanagi: Chidori Katana / 草薙の剣・千鳥刀</x:v>
      </x:c>
      <x:c r="Z20" s="1004" t="str">
        <x:v>原作漫画、动画、资料书</x:v>
      </x:c>
      <x:c r="AA20" s="587" t="str">
        <x:v>面板名“千鸟刀·蓄势”保留“草薙剑·千鸟刀”的核心识别词或完整正式名。新增后缀仅用于反映卡牌机制与区分动作，不冒充新的官方招式。</x:v>
      </x:c>
      <x:c r="AB20" s="587" t="str">
        <x:v>https://naruto.fandom.com/wiki/Chidori_Current</x:v>
      </x:c>
      <x:c r="AC20" s="572" t="str">
        <x:v>否</x:v>
      </x:c>
      <x:c r="AD20" s="573" t="str">
        <x:v>—</x:v>
      </x:c>
      <x:c r="AE20" s="587" t="str">
        <x:v>研究用候选ID；待最新 public-beta 本地审计</x:v>
      </x:c>
      <x:c r="AF20" s="573" t="str">
        <x:v>https://slaythespire.wiki.gg/wiki/Module%3ACards/StS2_data/Ironclad</x:v>
      </x:c>
      <x:c r="AG20" s="1563"/>
      <x:c r="AH20" s="573" t="str">
        <x:v>https://slaythespire.wiki.gg/wiki/Module%3ACards/StS2_data/Ironclad</x:v>
      </x:c>
      <x:c r="AI20" s="1292"/>
    </x:row>
    <x:row r="21" ht="106" customHeight="1">
      <x:c r="A21" s="1562" t="n">
        <x:v>17</x:v>
      </x:c>
      <x:c r="B21" s="572" t="str">
        <x:v>战士普通卡</x:v>
      </x:c>
      <x:c r="C21" s="573" t="str">
        <x:v>耸肩无视</x:v>
      </x:c>
      <x:c r="D21" s="572" t="str">
        <x:v>ShrugItOff</x:v>
      </x:c>
      <x:c r="E21" s="573" t="str">
        <x:v>Shrug It Off</x:v>
      </x:c>
      <x:c r="F21" s="572" t="str">
        <x:v>普通</x:v>
      </x:c>
      <x:c r="G21" s="572" t="str">
        <x:v>1</x:v>
      </x:c>
      <x:c r="H21" s="572" t="str">
        <x:v>技能</x:v>
      </x:c>
      <x:c r="I21" s="573" t="str">
        <x:v>获得8点格挡；抽1张牌。</x:v>
      </x:c>
      <x:c r="J21" s="573" t="str">
        <x:v>获得11点格挡；抽1张牌。</x:v>
      </x:c>
      <x:c r="K21" s="573" t="str">
        <x:v>格挡；抽牌</x:v>
      </x:c>
      <x:c r="L21" s="573" t="str">
        <x:v>卡池=战士普通卡；类型=技能；稀有度=普通；费用=1；目标=自身；基础效果=获得8点格挡；抽1张牌。；升级效果=获得11点格挡；抽1张牌。；关键词=格挡；抽牌</x:v>
      </x:c>
      <x:c r="M21" s="572" t="n">
        <x:v>0</x:v>
      </x:c>
      <x:c r="N21" s="573" t="str">
        <x:v>0（未发现开服后官方稀有度变更记录）</x:v>
      </x:c>
      <x:c r="O21" s="1597" t="str">
        <x:v>大蛇丸流·蜕皮</x:v>
      </x:c>
      <x:c r="P21" s="1602" t="str">
        <x:v>大蛇丸流替身术</x:v>
      </x:c>
      <x:c r="Q21" s="1603" t="str">
        <x:v>原著识别型项目命名（基于“大蛇丸流替身术”）</x:v>
      </x:c>
      <x:c r="R21" s="1604" t="str">
        <x:v>核心目录</x:v>
      </x:c>
      <x:c r="S21" s="1134" t="str">
        <x:v>T1 基础</x:v>
      </x:c>
      <x:c r="T21" s="784" t="str">
        <x:v>兄弟之战对鼬实际使用的蜕皮替身术。</x:v>
      </x:c>
      <x:c r="U21" s="1610" t="str">
        <x:v>无</x:v>
      </x:c>
      <x:c r="V21" s="1611" t="str">
        <x:v>本牌不得开启、延长或强化敌人/场景的写轮眼解析。阶段4角色自身红眼常驻属于形态表现，不代表本牌触发易伤解析。</x:v>
      </x:c>
      <x:c r="W21" s="1003" t="str">
        <x:v>合理性：格挡并抽牌，适合以蛇替身或柔性卸力避开冲击，同时借位重新获得下一步战术选择。联动：补充 Barricade、Unmovable 和 Juggernaut 的格挡链，并为 Body Slam 寻找后续资源。</x:v>
      </x:c>
      <x:c r="X21" s="1003" t="str">
        <x:v>强度定位：T1 基础。稀有度=普通，费用=1，效果核心为“获得8点格挡；抽1张牌。”。基础牌或低费用单一效果；名称只使用普通剑术、手里剑、基础体术或低强度战术词，不使用变身、奥义和终结级词汇。 因此采用“大蛇丸流·蜕皮”，避免名称强度高于或低于卡牌实际表现。</x:v>
      </x:c>
      <x:c r="Y21" s="1002" t="str">
        <x:v>Orochimaru-Style Body Replacement Technique / 大蛇丸流の変わり身の術</x:v>
      </x:c>
      <x:c r="Z21" s="1004" t="str">
        <x:v>原作漫画、动画、游戏</x:v>
      </x:c>
      <x:c r="AA21" s="587" t="str">
        <x:v>面板名“大蛇丸流·蜕皮”保留“大蛇丸流替身术”的核心识别词或完整正式名。新增后缀仅用于反映卡牌机制与区分动作，不冒充新的官方招式。</x:v>
      </x:c>
      <x:c r="AB21" s="587" t="str">
        <x:v>https://naruto.fandom.com/wiki/Orochimaru-Style_Body_Replacement_Technique</x:v>
      </x:c>
      <x:c r="AC21" s="572" t="str">
        <x:v>否</x:v>
      </x:c>
      <x:c r="AD21" s="573" t="str">
        <x:v>—</x:v>
      </x:c>
      <x:c r="AE21" s="587" t="str">
        <x:v>研究用候选ID；待最新 public-beta 本地审计</x:v>
      </x:c>
      <x:c r="AF21" s="573" t="str">
        <x:v>https://slaythespire.wiki.gg/wiki/Module%3ACards/StS2_data/Ironclad</x:v>
      </x:c>
      <x:c r="AG21" s="1563"/>
      <x:c r="AH21" s="573" t="str">
        <x:v>https://slaythespire.wiki.gg/wiki/Module%3ACards/StS2_data/Ironclad</x:v>
      </x:c>
      <x:c r="AI21" s="1292"/>
    </x:row>
    <x:row r="22" ht="106" customHeight="1">
      <x:c r="A22" s="1562" t="n">
        <x:v>18</x:v>
      </x:c>
      <x:c r="B22" s="572" t="str">
        <x:v>战士普通卡</x:v>
      </x:c>
      <x:c r="C22" s="573" t="str">
        <x:v>回旋剑</x:v>
      </x:c>
      <x:c r="D22" s="572" t="str">
        <x:v>SwordBoomerang</x:v>
      </x:c>
      <x:c r="E22" s="573" t="str">
        <x:v>Sword Boomerang</x:v>
      </x:c>
      <x:c r="F22" s="572" t="str">
        <x:v>普通</x:v>
      </x:c>
      <x:c r="G22" s="572" t="str">
        <x:v>1</x:v>
      </x:c>
      <x:c r="H22" s="572" t="str">
        <x:v>攻击</x:v>
      </x:c>
      <x:c r="I22" s="573" t="str">
        <x:v>随机对敌人造成3点伤害3次。</x:v>
      </x:c>
      <x:c r="J22" s="573" t="str">
        <x:v>随机对敌人造成3点伤害4次。</x:v>
      </x:c>
      <x:c r="K22" s="573" t="str">
        <x:v>随机多段伤害</x:v>
      </x:c>
      <x:c r="L22" s="573" t="str">
        <x:v>卡池=战士普通卡；类型=攻击；稀有度=普通；费用=1；目标=随机敌人；基础效果=随机对敌人造成3点伤害3次。；升级效果=随机对敌人造成3点伤害4次。；关键词=随机多段伤害</x:v>
      </x:c>
      <x:c r="M22" s="572" t="n">
        <x:v>0</x:v>
      </x:c>
      <x:c r="N22" s="573" t="str">
        <x:v>0（未发现开服后官方稀有度变更记录）</x:v>
      </x:c>
      <x:c r="O22" s="1597" t="str">
        <x:v>千鸟千本</x:v>
      </x:c>
      <x:c r="P22" s="1602" t="str">
        <x:v>千鸟千本</x:v>
      </x:c>
      <x:c r="Q22" s="1603" t="str">
        <x:v>正式招式名原样采用</x:v>
      </x:c>
      <x:c r="R22" s="1604" t="str">
        <x:v>重点补回</x:v>
      </x:c>
      <x:c r="S22" s="1134" t="str">
        <x:v>T2 进阶</x:v>
      </x:c>
      <x:c r="T22" s="784" t="str">
        <x:v>白衣/Hebi对迪达拉战实际使用，首次出现于漫画第357话。</x:v>
      </x:c>
      <x:c r="U22" s="1610" t="str">
        <x:v>无</x:v>
      </x:c>
      <x:c r="V22" s="1611" t="str">
        <x:v>本牌不得开启、延长或强化敌人/场景的写轮眼解析。阶段4角色自身红眼常驻属于形态表现，不代表本牌触发易伤解析。</x:v>
      </x:c>
      <x:c r="W22" s="1003" t="str">
        <x:v>合理性：随机多段攻击与钢丝控制手里剑反复改变轨道完全一致，目标随战场位置变化。联动：多段数充分利用 Inflame、Demon Form、Setup Strike 的力量，并触发 Juggling、Rage 等攻击次数体系。</x:v>
      </x:c>
      <x:c r="X22" s="1003" t="str">
        <x:v>强度定位：T2 进阶。稀有度=普通，费用=1，效果核心为“随机对敌人造成3点伤害3次。”。中等数值或机制启动牌；使用进阶剑术、火遁、雷遁、忍具或咒印一阶段等表达，但避免最高奥义措辞。 因此采用“千鸟千本”，避免名称强度高于或低于卡牌实际表现。</x:v>
      </x:c>
      <x:c r="Y22" s="1002" t="str">
        <x:v>Chidori Senbon / 千鳥千本</x:v>
      </x:c>
      <x:c r="Z22" s="1004" t="str">
        <x:v>原作漫画、动画、资料书</x:v>
      </x:c>
      <x:c r="AA22" s="587" t="str">
        <x:v>面板名“千鸟千本”保留“千鸟千本”的核心识别词或完整正式名。新增后缀仅用于反映卡牌机制与区分动作，不冒充新的官方招式。</x:v>
      </x:c>
      <x:c r="AB22" s="587" t="str">
        <x:v>https://naruto.fandom.com/wiki/Chidori_Senbon</x:v>
      </x:c>
      <x:c r="AC22" s="572" t="str">
        <x:v>否</x:v>
      </x:c>
      <x:c r="AD22" s="573" t="str">
        <x:v>—</x:v>
      </x:c>
      <x:c r="AE22" s="587" t="str">
        <x:v>研究用候选ID；待最新 public-beta 本地审计</x:v>
      </x:c>
      <x:c r="AF22" s="573" t="str">
        <x:v>https://slaythespire.wiki.gg/wiki/Module%3ACards/StS2_data/Ironclad</x:v>
      </x:c>
      <x:c r="AG22" s="1563"/>
      <x:c r="AH22" s="573" t="str">
        <x:v>https://slaythespire.wiki.gg/wiki/Module%3ACards/StS2_data/Ironclad</x:v>
      </x:c>
      <x:c r="AI22" s="1292"/>
    </x:row>
    <x:row r="23" ht="106" customHeight="1">
      <x:c r="A23" s="1562" t="n">
        <x:v>19</x:v>
      </x:c>
      <x:c r="B23" s="572" t="str">
        <x:v>战士普通卡</x:v>
      </x:c>
      <x:c r="C23" s="573" t="str">
        <x:v>嘲讽</x:v>
      </x:c>
      <x:c r="D23" s="572" t="str">
        <x:v>Taunt</x:v>
      </x:c>
      <x:c r="E23" s="573" t="str">
        <x:v>Taunt</x:v>
      </x:c>
      <x:c r="F23" s="572" t="str">
        <x:v>普通</x:v>
      </x:c>
      <x:c r="G23" s="572" t="str">
        <x:v>1</x:v>
      </x:c>
      <x:c r="H23" s="572" t="str">
        <x:v>技能</x:v>
      </x:c>
      <x:c r="I23" s="573" t="str">
        <x:v>获得6点格挡；施加1层易伤。</x:v>
      </x:c>
      <x:c r="J23" s="573" t="str">
        <x:v>获得7点格挡；施加2层易伤。</x:v>
      </x:c>
      <x:c r="K23" s="573" t="str">
        <x:v>格挡；易伤；写轮眼关联</x:v>
      </x:c>
      <x:c r="L23" s="573" t="str">
        <x:v>卡池=战士普通卡；类型=技能；稀有度=普通；费用=1；目标=自身/单体敌人；基础效果=获得6点格挡；施加1层易伤。；升级效果=获得7点格挡；施加2层易伤。；关键词=格挡；易伤；写轮眼关联</x:v>
      </x:c>
      <x:c r="M23" s="572" t="n">
        <x:v>1</x:v>
      </x:c>
      <x:c r="N23" s="573" t="str">
        <x:v>1次：v0.109.0，罕见→普通</x:v>
      </x:c>
      <x:c r="O23" s="1597" t="str">
        <x:v>幻术·写轮眼</x:v>
      </x:c>
      <x:c r="P23" s="1602" t="str">
        <x:v>幻术·写轮眼</x:v>
      </x:c>
      <x:c r="Q23" s="1603" t="str">
        <x:v>正式招式名原样采用</x:v>
      </x:c>
      <x:c r="R23" s="1604" t="str">
        <x:v>核心目录</x:v>
      </x:c>
      <x:c r="S23" s="1134" t="str">
        <x:v>T2 进阶</x:v>
      </x:c>
      <x:c r="T23" s="784" t="str">
        <x:v>白衣/Hebi阶段实际使用的三勾玉写轮眼幻术。</x:v>
      </x:c>
      <x:c r="U23" s="1610" t="str">
        <x:v>施加易伤｜开启解析</x:v>
      </x:c>
      <x:c r="V23" s="1611" t="str">
        <x:v>格挡动作诱导敌人按预测路线出手；易伤生效时开启写轮眼并标记攻击破绽。</x:v>
      </x:c>
      <x:c r="W23" s="1003" t="str">
        <x:v>合理性：一边获得格挡一边施加易伤，可解释为写轮眼主动挑衅、诱导敌人按预测路线出手，再以防御动作暴露其破绽。联动：既启动 Bully、Dismantle、Cruelty、Dominate、Vicious，也让 Colossus 对被解析敌人的防御效果生效。</x:v>
      </x:c>
      <x:c r="X23" s="1003" t="str">
        <x:v>强度定位：T2 进阶。稀有度=普通，费用=1，效果核心为“获得6点格挡；施加1层易伤。”。中等数值或机制启动牌；使用进阶剑术、火遁、雷遁、忍具或咒印一阶段等表达，但避免最高奥义措辞。 因此采用“幻术·写轮眼”，避免名称强度高于或低于卡牌实际表现。</x:v>
      </x:c>
      <x:c r="Y23" s="1002" t="str">
        <x:v>Genjutsu: Sharingan / 幻術・写輪眼</x:v>
      </x:c>
      <x:c r="Z23" s="1004" t="str">
        <x:v>原作漫画、动画</x:v>
      </x:c>
      <x:c r="AA23" s="587" t="str">
        <x:v>面板名“幻术·写轮眼”保留“幻术·写轮眼”的核心识别词或完整正式名。新增后缀仅用于反映卡牌机制与区分动作，不冒充新的官方招式。</x:v>
      </x:c>
      <x:c r="AB23" s="587" t="str">
        <x:v>https://naruto.fandom.com/wiki/Sasuke_Uchiha</x:v>
      </x:c>
      <x:c r="AC23" s="572" t="str">
        <x:v>否</x:v>
      </x:c>
      <x:c r="AD23" s="573" t="str">
        <x:v>—</x:v>
      </x:c>
      <x:c r="AE23" s="587" t="str">
        <x:v>研究用候选ID；待最新 public-beta 本地审计</x:v>
      </x:c>
      <x:c r="AF23" s="573" t="str">
        <x:v>https://slaythespire.wiki.gg/wiki/Module%3ACards/StS2_data/Ironclad | https://slaythespire.wiki.gg/wiki/Slay_the_Spire_2%3AV0.109.0_-_Beta_Patch</x:v>
      </x:c>
      <x:c r="AG23" s="1563" t="str">
        <x:v>https://slaythespire.wiki.gg/wiki/Slay_the_Spire_2%3AV0.109.0_-_Beta_Patch</x:v>
      </x:c>
      <x:c r="AH23" s="573" t="str">
        <x:v>https://slaythespire.wiki.gg/wiki/Module%3ACards/StS2_data/Ironclad | https://slaythespire.wiki.gg/wiki/Slay_the_Spire_2%3AV0.109.0_-_Beta_Patch</x:v>
      </x:c>
      <x:c r="AI23" s="1292" t="str">
        <x:v>https://slaythespire.wiki.gg/wiki/Slay_the_Spire_2%3AV0.109.0_-_Beta_Patch</x:v>
      </x:c>
    </x:row>
    <x:row r="24" ht="106" customHeight="1">
      <x:c r="A24" s="1562" t="n">
        <x:v>20</x:v>
      </x:c>
      <x:c r="B24" s="572" t="str">
        <x:v>战士普通卡</x:v>
      </x:c>
      <x:c r="C24" s="573" t="str">
        <x:v>闪电霹雳</x:v>
      </x:c>
      <x:c r="D24" s="572" t="str">
        <x:v>Thunderclap</x:v>
      </x:c>
      <x:c r="E24" s="573" t="str">
        <x:v>Thunderclap</x:v>
      </x:c>
      <x:c r="F24" s="572" t="str">
        <x:v>普通</x:v>
      </x:c>
      <x:c r="G24" s="572" t="str">
        <x:v>1</x:v>
      </x:c>
      <x:c r="H24" s="572" t="str">
        <x:v>攻击</x:v>
      </x:c>
      <x:c r="I24" s="573" t="str">
        <x:v>对所有敌人造成4点伤害并施加1层易伤。</x:v>
      </x:c>
      <x:c r="J24" s="573" t="str">
        <x:v>对所有敌人造成7点伤害并施加1层易伤。</x:v>
      </x:c>
      <x:c r="K24" s="573" t="str">
        <x:v>群体伤害；易伤；写轮眼关联</x:v>
      </x:c>
      <x:c r="L24" s="573" t="str">
        <x:v>卡池=战士普通卡；类型=攻击；稀有度=普通；费用=1；目标=所有敌人；基础效果=对所有敌人造成4点伤害并施加1层易伤。；升级效果=对所有敌人造成7点伤害并施加1层易伤。；关键词=群体伤害；易伤；写轮眼关联</x:v>
      </x:c>
      <x:c r="M24" s="572" t="n">
        <x:v>0</x:v>
      </x:c>
      <x:c r="N24" s="573" t="str">
        <x:v>0（未发现开服后官方稀有度变更记录）</x:v>
      </x:c>
      <x:c r="O24" s="1597" t="str">
        <x:v>千鸟流·雷震</x:v>
      </x:c>
      <x:c r="P24" s="1602" t="str">
        <x:v>千鸟流</x:v>
      </x:c>
      <x:c r="Q24" s="1603" t="str">
        <x:v>原著识别型项目命名（基于“千鸟流”）</x:v>
      </x:c>
      <x:c r="R24" s="1604" t="str">
        <x:v>核心目录</x:v>
      </x:c>
      <x:c r="S24" s="1134" t="str">
        <x:v>T2 进阶</x:v>
      </x:c>
      <x:c r="T24" s="784" t="str">
        <x:v>白衣/Hebi代表性周身放电招式，兼具攻击与防御。</x:v>
      </x:c>
      <x:c r="U24" s="1610" t="str">
        <x:v>群体施加易伤｜逐目标开启</x:v>
      </x:c>
      <x:c r="V24" s="1611" t="str">
        <x:v>雷环命中后，仅对实际获得易伤的敌人逐个显示写轮眼轮廓；不得把未获得易伤的敌人一并标记。</x:v>
      </x:c>
      <x:c r="W24" s="1003" t="str">
        <x:v>合理性：对所有敌人造成小额伤害并统一施加易伤，最适合千鸟流·雷震环形扩散，同时标出全场敌人的破绽。联动：是群体写轮眼体系的主要入口，为 Whirlwind、Conflagration、Howl from Beyond 以及所有易伤收益牌提供群体前置。</x:v>
      </x:c>
      <x:c r="X24" s="1003" t="str">
        <x:v>强度定位：T2 进阶。稀有度=普通，费用=1，效果核心为“对所有敌人造成4点伤害并施加1层易伤。”。中等数值或机制启动牌；使用进阶剑术、火遁、雷遁、忍具或咒印一阶段等表达，但避免最高奥义措辞。 因此采用“千鸟流·雷震”，避免名称强度高于或低于卡牌实际表现。</x:v>
      </x:c>
      <x:c r="Y24" s="1002" t="str">
        <x:v>Chidori Current / 千鳥流し</x:v>
      </x:c>
      <x:c r="Z24" s="1004" t="str">
        <x:v>原作漫画、动画、资料书、究极风暴</x:v>
      </x:c>
      <x:c r="AA24" s="587" t="str">
        <x:v>面板名“千鸟流·雷震”保留“千鸟流”的核心识别词或完整正式名。新增后缀仅用于反映卡牌机制与区分动作，不冒充新的官方招式。</x:v>
      </x:c>
      <x:c r="AB24" s="587" t="str">
        <x:v>https://naruto.fandom.com/wiki/Chidori_Current</x:v>
      </x:c>
      <x:c r="AC24" s="572" t="str">
        <x:v>否</x:v>
      </x:c>
      <x:c r="AD24" s="573" t="str">
        <x:v>—</x:v>
      </x:c>
      <x:c r="AE24" s="587" t="str">
        <x:v>研究用候选ID；待最新 public-beta 本地审计</x:v>
      </x:c>
      <x:c r="AF24" s="573" t="str">
        <x:v>https://slaythespire.wiki.gg/wiki/Module%3ACards/StS2_data/Ironclad</x:v>
      </x:c>
      <x:c r="AG24" s="1563"/>
      <x:c r="AH24" s="573" t="str">
        <x:v>https://slaythespire.wiki.gg/wiki/Module%3ACards/StS2_data/Ironclad</x:v>
      </x:c>
      <x:c r="AI24" s="1292"/>
    </x:row>
    <x:row r="25" ht="106" customHeight="1">
      <x:c r="A25" s="1562" t="n">
        <x:v>21</x:v>
      </x:c>
      <x:c r="B25" s="572" t="str">
        <x:v>战士普通卡</x:v>
      </x:c>
      <x:c r="C25" s="573" t="str">
        <x:v>战栗</x:v>
      </x:c>
      <x:c r="D25" s="572" t="str">
        <x:v>Tremble</x:v>
      </x:c>
      <x:c r="E25" s="573" t="str">
        <x:v>Tremble</x:v>
      </x:c>
      <x:c r="F25" s="572" t="str">
        <x:v>普通</x:v>
      </x:c>
      <x:c r="G25" s="572" t="str">
        <x:v>1</x:v>
      </x:c>
      <x:c r="H25" s="572" t="str">
        <x:v>技能</x:v>
      </x:c>
      <x:c r="I25" s="573" t="str">
        <x:v>施加3层易伤；消耗。</x:v>
      </x:c>
      <x:c r="J25" s="573" t="str">
        <x:v>施加4层易伤；消耗。</x:v>
      </x:c>
      <x:c r="K25" s="573" t="str">
        <x:v>易伤；消耗；写轮眼关联</x:v>
      </x:c>
      <x:c r="L25" s="573" t="str">
        <x:v>卡池=战士普通卡；类型=技能；稀有度=普通；费用=1；目标=单体敌人；基础效果=施加3层易伤；消耗。；升级效果=施加4层易伤；消耗。；关键词=易伤；消耗；写轮眼关联</x:v>
      </x:c>
      <x:c r="M25" s="572" t="n">
        <x:v>0</x:v>
      </x:c>
      <x:c r="N25" s="573" t="str">
        <x:v>0（未发现开服后官方稀有度变更记录）</x:v>
      </x:c>
      <x:c r="O25" s="1597" t="str">
        <x:v>魔幻·枷杭之术</x:v>
      </x:c>
      <x:c r="P25" s="1602" t="str">
        <x:v>魔幻·枷杭之术</x:v>
      </x:c>
      <x:c r="Q25" s="1603" t="str">
        <x:v>正式招式名原样采用</x:v>
      </x:c>
      <x:c r="R25" s="1604" t="str">
        <x:v>核心目录</x:v>
      </x:c>
      <x:c r="S25" s="1134" t="str">
        <x:v>T2 进阶</x:v>
      </x:c>
      <x:c r="T25" s="784" t="str">
        <x:v>白衣/Hebi阶段对大蛇丸实际使用。</x:v>
      </x:c>
      <x:c r="U25" s="1610" t="str">
        <x:v>施加易伤｜强制开启解析</x:v>
      </x:c>
      <x:c r="V25" s="1611" t="str">
        <x:v>易伤生效时播放一次短眼部特写和写轮眼威压；之后仅保留目标解析，不持续覆盖全屏红色滤镜。</x:v>
      </x:c>
      <x:c r="W25" s="1003" t="str">
        <x:v>合理性：不造成伤害、一次性施加大量易伤，适合用写轮眼威压和杀意幻象让敌人动作僵硬、破绽完全暴露。联动：作为高强度一次性前置，连接 Molten Fist、Bully、Dismantle、Cruelty、Dominate 和 Vicious；自身消耗也喂养消耗体系。</x:v>
      </x:c>
      <x:c r="X25" s="1003" t="str">
        <x:v>强度定位：T2 进阶。稀有度=普通，费用=1，效果核心为“施加3层易伤；消耗。”。中等数值或机制启动牌；使用进阶剑术、火遁、雷遁、忍具或咒印一阶段等表达，但避免最高奥义措辞。 因此采用“魔幻·枷杭之术”，避免名称强度高于或低于卡牌实际表现。</x:v>
      </x:c>
      <x:c r="Y25" s="1002" t="str">
        <x:v>Demonic Illusion: Shackling Stakes Technique / 魔幻・枷杭の術</x:v>
      </x:c>
      <x:c r="Z25" s="1004" t="str">
        <x:v>原作漫画、动画、资料书</x:v>
      </x:c>
      <x:c r="AA25" s="587" t="str">
        <x:v>面板名“魔幻·枷杭之术”保留“魔幻·枷杭之术”的核心识别词或完整正式名。新增后缀仅用于反映卡牌机制与区分动作，不冒充新的官方招式。</x:v>
      </x:c>
      <x:c r="AB25" s="587" t="str">
        <x:v>https://naruto.fandom.com/wiki/Demonic_Illusion%3A_Shackling_Stakes_Technique</x:v>
      </x:c>
      <x:c r="AC25" s="572" t="str">
        <x:v>否</x:v>
      </x:c>
      <x:c r="AD25" s="573" t="str">
        <x:v>—</x:v>
      </x:c>
      <x:c r="AE25" s="587" t="str">
        <x:v>研究用候选ID；待最新 public-beta 本地审计</x:v>
      </x:c>
      <x:c r="AF25" s="573" t="str">
        <x:v>https://slaythespire.wiki.gg/wiki/Module%3ACards/StS2_data/Ironclad</x:v>
      </x:c>
      <x:c r="AG25" s="1563"/>
      <x:c r="AH25" s="573" t="str">
        <x:v>https://slaythespire.wiki.gg/wiki/Module%3ACards/StS2_data/Ironclad</x:v>
      </x:c>
      <x:c r="AI25" s="1292"/>
    </x:row>
    <x:row r="26" ht="106" customHeight="1">
      <x:c r="A26" s="1562" t="n">
        <x:v>22</x:v>
      </x:c>
      <x:c r="B26" s="572" t="str">
        <x:v>战士普通卡</x:v>
      </x:c>
      <x:c r="C26" s="573" t="str">
        <x:v>坚毅</x:v>
      </x:c>
      <x:c r="D26" s="572" t="str">
        <x:v>TrueGrit</x:v>
      </x:c>
      <x:c r="E26" s="573" t="str">
        <x:v>True Grit</x:v>
      </x:c>
      <x:c r="F26" s="572" t="str">
        <x:v>普通</x:v>
      </x:c>
      <x:c r="G26" s="572" t="str">
        <x:v>1</x:v>
      </x:c>
      <x:c r="H26" s="572" t="str">
        <x:v>技能</x:v>
      </x:c>
      <x:c r="I26" s="573" t="str">
        <x:v>获得7点格挡；随机消耗手牌中的1张牌。</x:v>
      </x:c>
      <x:c r="J26" s="573" t="str">
        <x:v>获得9点格挡；选择并消耗手牌中的1张牌。</x:v>
      </x:c>
      <x:c r="K26" s="573" t="str">
        <x:v>格挡；消耗</x:v>
      </x:c>
      <x:c r="L26" s="573" t="str">
        <x:v>卡池=战士普通卡；类型=技能；稀有度=普通；费用=1；目标=自身/手牌；基础效果=获得7点格挡；随机消耗手牌中的1张牌。；升级效果=获得9点格挡；选择并消耗手牌中的1张牌。；关键词=格挡；消耗</x:v>
      </x:c>
      <x:c r="M26" s="572" t="n">
        <x:v>0</x:v>
      </x:c>
      <x:c r="N26" s="573" t="str">
        <x:v>0（未发现开服后官方稀有度变更记录）</x:v>
      </x:c>
      <x:c r="O26" s="1597" t="str">
        <x:v>咒印·坚忍</x:v>
      </x:c>
      <x:c r="P26" s="1602" t="str">
        <x:v>天之咒印</x:v>
      </x:c>
      <x:c r="Q26" s="1603" t="str">
        <x:v>原著识别型项目命名（基于“天之咒印”）</x:v>
      </x:c>
      <x:c r="R26" s="1604" t="str">
        <x:v>核心目录</x:v>
      </x:c>
      <x:c r="S26" s="1134" t="str">
        <x:v>T1 基础</x:v>
      </x:c>
      <x:c r="T26" s="784" t="str">
        <x:v>白衣/Hebi对大蛇丸、迪达拉及鼬的战斗中实际激活。</x:v>
      </x:c>
      <x:c r="U26" s="1610" t="str">
        <x:v>无</x:v>
      </x:c>
      <x:c r="V26" s="1611" t="str">
        <x:v>本牌不得开启、延长或强化敌人/场景的写轮眼解析。阶段4角色自身红眼常驻属于形态表现，不代表本牌触发易伤解析。</x:v>
      </x:c>
      <x:c r="W26" s="1003" t="str">
        <x:v>合理性：格挡并消耗手牌，升级后可自主选择，适合咒印将不需要的记忆或忍术吞噬，换取更坚定的防御。联动：稳定触发 Feel No Pain、Dark Embrace、Evil Eye、Forgotten Ritual，并增加 Ashen Strike、Pact's End 和 Midnight 的积累。</x:v>
      </x:c>
      <x:c r="X26" s="1003" t="str">
        <x:v>强度定位：T1 基础。稀有度=普通，费用=1，效果核心为“获得7点格挡；随机消耗手牌中的1张牌。”。基础牌或低费用单一效果；名称只使用普通剑术、手里剑、基础体术或低强度战术词，不使用变身、奥义和终结级词汇。 因此采用“咒印·坚忍”，避免名称强度高于或低于卡牌实际表现。</x:v>
      </x:c>
      <x:c r="Y26" s="1002" t="str">
        <x:v>Cursed Seal of Heaven / 天の呪印</x:v>
      </x:c>
      <x:c r="Z26" s="1004" t="str">
        <x:v>原作状态/能力</x:v>
      </x:c>
      <x:c r="AA26" s="587" t="str">
        <x:v>面板名“咒印·坚忍”保留“天之咒印”的核心识别词或完整正式名。新增后缀仅用于反映卡牌机制与区分动作，不冒充新的官方招式。</x:v>
      </x:c>
      <x:c r="AB26" s="587" t="str">
        <x:v>https://naruto.fandom.com/wiki/Cursed_Seal_of_Heaven</x:v>
      </x:c>
      <x:c r="AC26" s="572" t="str">
        <x:v>否</x:v>
      </x:c>
      <x:c r="AD26" s="573" t="str">
        <x:v>—</x:v>
      </x:c>
      <x:c r="AE26" s="587" t="str">
        <x:v>研究用候选ID；待最新 public-beta 本地审计</x:v>
      </x:c>
      <x:c r="AF26" s="573" t="str">
        <x:v>https://slaythespire.wiki.gg/wiki/Module%3ACards/StS2_data/Ironclad</x:v>
      </x:c>
      <x:c r="AG26" s="1563"/>
      <x:c r="AH26" s="573" t="str">
        <x:v>https://slaythespire.wiki.gg/wiki/Module%3ACards/StS2_data/Ironclad</x:v>
      </x:c>
      <x:c r="AI26" s="1292"/>
    </x:row>
    <x:row r="27" ht="106" customHeight="1">
      <x:c r="A27" s="1562" t="n">
        <x:v>23</x:v>
      </x:c>
      <x:c r="B27" s="572" t="str">
        <x:v>战士普通卡</x:v>
      </x:c>
      <x:c r="C27" s="573" t="str">
        <x:v>双重打击</x:v>
      </x:c>
      <x:c r="D27" s="572" t="str">
        <x:v>TwinStrike</x:v>
      </x:c>
      <x:c r="E27" s="573" t="str">
        <x:v>Twin Strike</x:v>
      </x:c>
      <x:c r="F27" s="572" t="str">
        <x:v>普通</x:v>
      </x:c>
      <x:c r="G27" s="572" t="str">
        <x:v>1</x:v>
      </x:c>
      <x:c r="H27" s="572" t="str">
        <x:v>攻击</x:v>
      </x:c>
      <x:c r="I27" s="573" t="str">
        <x:v>造成5点伤害2次。</x:v>
      </x:c>
      <x:c r="J27" s="573" t="str">
        <x:v>造成7点伤害2次。</x:v>
      </x:c>
      <x:c r="K27" s="573" t="str">
        <x:v>双段伤害</x:v>
      </x:c>
      <x:c r="L27" s="573" t="str">
        <x:v>卡池=战士普通卡；类型=攻击；稀有度=普通；费用=1；目标=单体敌人；基础效果=造成5点伤害2次。；升级效果=造成7点伤害2次。；关键词=双段伤害</x:v>
      </x:c>
      <x:c r="M27" s="572" t="n">
        <x:v>0</x:v>
      </x:c>
      <x:c r="N27" s="573" t="str">
        <x:v>0（未发现开服后官方稀有度变更记录）</x:v>
      </x:c>
      <x:c r="O27" s="1597" t="str">
        <x:v>草薙剑·双闪</x:v>
      </x:c>
      <x:c r="P27" s="1602" t="str">
        <x:v>居合</x:v>
      </x:c>
      <x:c r="Q27" s="1603" t="str">
        <x:v>原著识别型项目命名（基于“居合”）</x:v>
      </x:c>
      <x:c r="R27" s="1604" t="str">
        <x:v>动作根目录</x:v>
      </x:c>
      <x:c r="S27" s="1134" t="str">
        <x:v>T1 基础</x:v>
      </x:c>
      <x:c r="T27" s="784" t="str">
        <x:v>白衣/Hebi与兄弟之战的基础草薙剑近战体系。</x:v>
      </x:c>
      <x:c r="U27" s="1610" t="str">
        <x:v>无</x:v>
      </x:c>
      <x:c r="V27" s="1611" t="str">
        <x:v>本牌不得开启、延长或强化敌人/场景的写轮眼解析。阶段4角色自身红眼常驻属于形态表现，不代表本牌触发易伤解析。</x:v>
      </x:c>
      <x:c r="W27" s="1003" t="str">
        <x:v>合理性：固定两段伤害对应草薙剑交叉双斩，动作清晰且不会与高阶忍术混淆。联动：属于 Strike 牌系，强化 Perfected Strike并受 Hellraiser 影响；两段攻击也能充分利用力量、One-Two Punch 和 Rage。</x:v>
      </x:c>
      <x:c r="X27" s="1003" t="str">
        <x:v>强度定位：T1 基础。稀有度=普通，费用=1，效果核心为“造成5点伤害2次。”。基础牌或低费用单一效果；名称只使用普通剑术、手里剑、基础体术或低强度战术词，不使用变身、奥义和终结级词汇。 因此采用“草薙剑·双闪”，避免名称强度高于或低于卡牌实际表现。</x:v>
      </x:c>
      <x:c r="Y27" s="1002" t="str">
        <x:v>Iaidō / 居合</x:v>
      </x:c>
      <x:c r="Z27" s="1004" t="str">
        <x:v>原作角色招式资料</x:v>
      </x:c>
      <x:c r="AA27" s="587" t="str">
        <x:v>面板名“草薙剑·双闪”保留“居合”的核心识别词或完整正式名。新增后缀仅用于反映卡牌机制与区分动作，不冒充新的官方招式。</x:v>
      </x:c>
      <x:c r="AB27" s="587" t="str">
        <x:v>https://naruto.fandom.com/wiki/Sasuke_Uchiha</x:v>
      </x:c>
      <x:c r="AC27" s="572" t="str">
        <x:v>否</x:v>
      </x:c>
      <x:c r="AD27" s="573" t="str">
        <x:v>—</x:v>
      </x:c>
      <x:c r="AE27" s="587" t="str">
        <x:v>研究用候选ID；待最新 public-beta 本地审计</x:v>
      </x:c>
      <x:c r="AF27" s="573" t="str">
        <x:v>https://slaythespire.wiki.gg/wiki/Module%3ACards/StS2_data/Ironclad</x:v>
      </x:c>
      <x:c r="AG27" s="1563"/>
      <x:c r="AH27" s="573" t="str">
        <x:v>https://slaythespire.wiki.gg/wiki/Module%3ACards/StS2_data/Ironclad</x:v>
      </x:c>
      <x:c r="AI27" s="1292"/>
    </x:row>
    <x:row r="28" ht="106" customHeight="1">
      <x:c r="A28" s="1562" t="n">
        <x:v>24</x:v>
      </x:c>
      <x:c r="B28" s="572" t="str">
        <x:v>战士普通卡</x:v>
      </x:c>
      <x:c r="C28" s="573" t="str">
        <x:v>灰烬打击</x:v>
      </x:c>
      <x:c r="D28" s="572" t="str">
        <x:v>AshenStrike</x:v>
      </x:c>
      <x:c r="E28" s="573" t="str">
        <x:v>Ashen Strike</x:v>
      </x:c>
      <x:c r="F28" s="572" t="str">
        <x:v>罕见</x:v>
      </x:c>
      <x:c r="G28" s="572" t="str">
        <x:v>1</x:v>
      </x:c>
      <x:c r="H28" s="572" t="str">
        <x:v>攻击</x:v>
      </x:c>
      <x:c r="I28" s="573" t="str">
        <x:v>造成6点伤害；消耗堆中每有1张牌，额外造成3点伤害。</x:v>
      </x:c>
      <x:c r="J28" s="573" t="str">
        <x:v>造成6点伤害；消耗堆中每有1张牌，额外造成4点伤害。</x:v>
      </x:c>
      <x:c r="K28" s="573" t="str">
        <x:v>消耗堆成长；伤害</x:v>
      </x:c>
      <x:c r="L28" s="573" t="str">
        <x:v>卡池=战士普通卡；类型=攻击；稀有度=罕见；费用=1；目标=单体敌人；基础效果=造成6点伤害；消耗堆中每有1张牌，额外造成3点伤害。；升级效果=造成6点伤害；消耗堆中每有1张牌，额外造成4点伤害。；关键词=消耗堆成长；伤害</x:v>
      </x:c>
      <x:c r="M28" s="572" t="n">
        <x:v>0</x:v>
      </x:c>
      <x:c r="N28" s="573" t="str">
        <x:v>0（未发现开服后官方稀有度变更记录）</x:v>
      </x:c>
      <x:c r="O28" s="1597" t="str">
        <x:v>火遁·落火·灰烬追击</x:v>
      </x:c>
      <x:c r="P28" s="1602" t="str">
        <x:v>火遁·豪火球之术·落火</x:v>
      </x:c>
      <x:c r="Q28" s="1603" t="str">
        <x:v>原著识别型项目命名（基于“火遁·豪火球之术·落火”）</x:v>
      </x:c>
      <x:c r="R28" s="1604" t="str">
        <x:v>补回目录</x:v>
      </x:c>
      <x:c r="S28" s="1134" t="str">
        <x:v>T2 进阶</x:v>
      </x:c>
      <x:c r="T28" s="784" t="str">
        <x:v>《究极风暴》白衣/Hebi佐助的剑术连段收尾招式。</x:v>
      </x:c>
      <x:c r="U28" s="1610" t="str">
        <x:v>无</x:v>
      </x:c>
      <x:c r="V28" s="1611" t="str">
        <x:v>本牌不得开启、延长或强化敌人/场景的写轮眼解析。阶段4角色自身红眼常驻属于形态表现，不代表本牌触发易伤解析。</x:v>
      </x:c>
      <x:c r="W28" s="1003" t="str">
        <x:v>合理性：消耗堆越大伤害越高，可将此前被消耗的卡牌表现为豪火球留下的灰烬，最终汇聚成一次追击。联动：承接 Cinder、Havoc、Burning Pact、True Grit、Second Wind、Stoke 和 Fiend Fire，是消耗体系的单体收束牌。</x:v>
      </x:c>
      <x:c r="X28" s="1003" t="str">
        <x:v>强度定位：T2 进阶。稀有度=罕见，费用=1，效果核心为“造成6点伤害；消耗堆中每有1张牌，额外造成3点伤害。”。中等数值或机制启动牌；使用进阶剑术、火遁、雷遁、忍具或咒印一阶段等表达，但避免最高奥义措辞。 因此采用“火遁·落火·灰烬追击”，避免名称强度高于或低于卡牌实际表现。</x:v>
      </x:c>
      <x:c r="Y28" s="1002" t="str">
        <x:v>Fire Release: Great Fireball Technique: Falling Fire / 火遁・豪火球の術・落火</x:v>
      </x:c>
      <x:c r="Z28" s="1004" t="str">
        <x:v>究极风暴正式招式</x:v>
      </x:c>
      <x:c r="AA28" s="587" t="str">
        <x:v>面板名“火遁·落火·灰烬追击”保留“火遁·豪火球之术·落火”的核心识别词或完整正式名。新增后缀仅用于反映卡牌机制与区分动作，不冒充新的官方招式。</x:v>
      </x:c>
      <x:c r="AB28" s="587" t="str">
        <x:v>https://naruto.fandom.com/wiki/Fire_Release%3A_Great_Fireball_Technique%3A_Falling_Fire</x:v>
      </x:c>
      <x:c r="AC28" s="572" t="str">
        <x:v>否</x:v>
      </x:c>
      <x:c r="AD28" s="573" t="str">
        <x:v>—</x:v>
      </x:c>
      <x:c r="AE28" s="587" t="str">
        <x:v>研究用候选ID；待最新 public-beta 本地审计</x:v>
      </x:c>
      <x:c r="AF28" s="573" t="str">
        <x:v>https://slaythespire.wiki.gg/wiki/Module%3ACards/StS2_data/Ironclad</x:v>
      </x:c>
      <x:c r="AG28" s="1563"/>
      <x:c r="AH28" s="573" t="str">
        <x:v>https://slaythespire.wiki.gg/wiki/Module%3ACards/StS2_data/Ironclad</x:v>
      </x:c>
      <x:c r="AI28" s="1292"/>
    </x:row>
    <x:row r="29" ht="106" customHeight="1">
      <x:c r="A29" s="1562" t="n">
        <x:v>25</x:v>
      </x:c>
      <x:c r="B29" s="572" t="str">
        <x:v>战士普通卡</x:v>
      </x:c>
      <x:c r="C29" s="573" t="str">
        <x:v>战斗专注</x:v>
      </x:c>
      <x:c r="D29" s="572" t="str">
        <x:v>BattleTrance</x:v>
      </x:c>
      <x:c r="E29" s="573" t="str">
        <x:v>Battle Trance</x:v>
      </x:c>
      <x:c r="F29" s="572" t="str">
        <x:v>罕见</x:v>
      </x:c>
      <x:c r="G29" s="572" t="str">
        <x:v>0</x:v>
      </x:c>
      <x:c r="H29" s="572" t="str">
        <x:v>技能</x:v>
      </x:c>
      <x:c r="I29" s="573" t="str">
        <x:v>抽3张牌；本回合无法再抽牌。</x:v>
      </x:c>
      <x:c r="J29" s="573" t="str">
        <x:v>抽4张牌；本回合无法再抽牌。</x:v>
      </x:c>
      <x:c r="K29" s="573" t="str">
        <x:v>抽牌；禁抽</x:v>
      </x:c>
      <x:c r="L29" s="573" t="str">
        <x:v>卡池=战士普通卡；类型=技能；稀有度=罕见；费用=0；目标=自身；基础效果=抽3张牌；本回合无法再抽牌。；升级效果=抽4张牌；本回合无法再抽牌。；关键词=抽牌；禁抽</x:v>
      </x:c>
      <x:c r="M29" s="572" t="n">
        <x:v>0</x:v>
      </x:c>
      <x:c r="N29" s="573" t="str">
        <x:v>0（未发现开服后官方稀有度变更记录）</x:v>
      </x:c>
      <x:c r="O29" s="1597" t="str">
        <x:v>雷光剑化·三器展开</x:v>
      </x:c>
      <x:c r="P29" s="1602" t="str">
        <x:v>通灵·雷光剑化</x:v>
      </x:c>
      <x:c r="Q29" s="1603" t="str">
        <x:v>原著识别型项目命名（基于“通灵·雷光剑化”）</x:v>
      </x:c>
      <x:c r="R29" s="1604" t="str">
        <x:v>核心目录</x:v>
      </x:c>
      <x:c r="S29" s="1134" t="str">
        <x:v>T2 进阶</x:v>
      </x:c>
      <x:c r="T29" s="784" t="str">
        <x:v>兄弟之战中通过手腕封印实际召唤风魔手里剑和忍具。</x:v>
      </x:c>
      <x:c r="U29" s="1610" t="str">
        <x:v>无</x:v>
      </x:c>
      <x:c r="V29" s="1611" t="str">
        <x:v>本牌不得开启、延长或强化敌人/场景的写轮眼解析。阶段4角色自身红眼常驻属于形态表现，不代表本牌触发易伤解析。</x:v>
      </x:c>
      <x:c r="W29" s="1003" t="str">
        <x:v>合理性：一次抽取3张牌且本回合停止继续抽牌，可表现为佐助瞬间展开三件封印忍具，完成一次性战术补给。联动：为 Expect a Fight、Cascade、Whirlwind、Fiend Fire 等爆发回合准备手牌。</x:v>
      </x:c>
      <x:c r="X29" s="1003" t="str">
        <x:v>强度定位：T2 进阶。稀有度=罕见，费用=0，效果核心为“抽3张牌；本回合无法再抽牌。”。中等数值或机制启动牌；使用雷光剑化·三器展开战术、普通火遁、千鸟流和咒印一阶段等进阶表达，但避免最高奥义措辞。 因此采用“雷光剑化·三器展开”，避免名称强度高于或低于卡牌实际表现。</x:v>
      </x:c>
      <x:c r="Y29" s="1002" t="str">
        <x:v>Summoning: Lightning Flash Blade Creation / 口寄せ・雷光剣化</x:v>
      </x:c>
      <x:c r="Z29" s="1004" t="str">
        <x:v>原作漫画、动画、资料书</x:v>
      </x:c>
      <x:c r="AA29" s="587" t="str">
        <x:v>面板名“雷光剑化·三器展开”保留“通灵·雷光剑化”的核心识别词或完整正式名。新增后缀仅用于反映卡牌机制与区分动作，不冒充新的官方招式。</x:v>
      </x:c>
      <x:c r="AB29" s="587" t="str">
        <x:v>https://naruto.fandom.com/wiki/Summoning%3A_Lightning_Flash_Blade_Creation</x:v>
      </x:c>
      <x:c r="AC29" s="572" t="str">
        <x:v>否</x:v>
      </x:c>
      <x:c r="AD29" s="573" t="str">
        <x:v>—</x:v>
      </x:c>
      <x:c r="AE29" s="587" t="str">
        <x:v>研究用候选ID；待最新 public-beta 本地审计</x:v>
      </x:c>
      <x:c r="AF29" s="573" t="str">
        <x:v>https://slaythespire.wiki.gg/wiki/Module%3ACards/StS2_data/Ironclad</x:v>
      </x:c>
      <x:c r="AG29" s="1563"/>
      <x:c r="AH29" s="573" t="str">
        <x:v>https://slaythespire.wiki.gg/wiki/Module%3ACards/StS2_data/Ironclad</x:v>
      </x:c>
      <x:c r="AI29" s="1292"/>
    </x:row>
    <x:row r="30" ht="106" customHeight="1">
      <x:c r="A30" s="1562" t="n">
        <x:v>26</x:v>
      </x:c>
      <x:c r="B30" s="572" t="str">
        <x:v>战士普通卡</x:v>
      </x:c>
      <x:c r="C30" s="573" t="str">
        <x:v>放血</x:v>
      </x:c>
      <x:c r="D30" s="572" t="str">
        <x:v>Bloodletting</x:v>
      </x:c>
      <x:c r="E30" s="573" t="str">
        <x:v>Bloodletting</x:v>
      </x:c>
      <x:c r="F30" s="572" t="str">
        <x:v>罕见</x:v>
      </x:c>
      <x:c r="G30" s="572" t="str">
        <x:v>0</x:v>
      </x:c>
      <x:c r="H30" s="572" t="str">
        <x:v>技能</x:v>
      </x:c>
      <x:c r="I30" s="573" t="str">
        <x:v>失去3点生命；获得2点能量。</x:v>
      </x:c>
      <x:c r="J30" s="573" t="str">
        <x:v>失去3点生命；获得3点能量。</x:v>
      </x:c>
      <x:c r="K30" s="573" t="str">
        <x:v>自损；能量；战损阈值</x:v>
      </x:c>
      <x:c r="L30" s="573" t="str">
        <x:v>卡池=战士普通卡；类型=技能；稀有度=罕见；费用=0；目标=自身；基础效果=失去3点生命；获得2点能量。；升级效果=失去3点生命；获得3点能量。；关键词=自损；能量；战损阈值</x:v>
      </x:c>
      <x:c r="M30" s="572" t="n">
        <x:v>1</x:v>
      </x:c>
      <x:c r="N30" s="573" t="str">
        <x:v>1次：v0.109.0，普通→罕见</x:v>
      </x:c>
      <x:c r="O30" s="1597" t="str">
        <x:v>咒印·血解</x:v>
      </x:c>
      <x:c r="P30" s="1602" t="str">
        <x:v>天之咒印</x:v>
      </x:c>
      <x:c r="Q30" s="1603" t="str">
        <x:v>原著识别型项目命名（基于“天之咒印”）</x:v>
      </x:c>
      <x:c r="R30" s="1604" t="str">
        <x:v>核心目录</x:v>
      </x:c>
      <x:c r="S30" s="1134" t="str">
        <x:v>T2 进阶</x:v>
      </x:c>
      <x:c r="T30" s="784" t="str">
        <x:v>白衣/Hebi对大蛇丸、迪达拉及鼬的战斗中实际激活。</x:v>
      </x:c>
      <x:c r="U30" s="1610" t="str">
        <x:v>无</x:v>
      </x:c>
      <x:c r="V30" s="1611" t="str">
        <x:v>本牌不得开启、延长或强化敌人/场景的写轮眼解析。阶段4角色自身红眼常驻属于形态表现，不代表本牌触发易伤解析。</x:v>
      </x:c>
      <x:c r="W30" s="1003" t="str">
        <x:v>合理性：主动失去生命换取能量，直接对应咒印以血肉为代价释放额外查克拉。联动：启动 Rupture、Spite、Inferno、Tear Asunder，并为 Whirlwind、Demon Form、Bludgeon 等高费用牌提供能量。</x:v>
      </x:c>
      <x:c r="X30" s="1003" t="str">
        <x:v>强度定位：T2 进阶。稀有度=罕见，费用=0，效果核心为“失去3点生命；获得2点能量。”。中等数值或机制启动牌；使用进阶剑术、火遁、雷遁、忍具或咒印一阶段等表达，但避免最高奥义措辞。 因此采用“咒印·血解”，避免名称强度高于或低于卡牌实际表现。</x:v>
      </x:c>
      <x:c r="Y30" s="1002" t="str">
        <x:v>Cursed Seal of Heaven / 天の呪印</x:v>
      </x:c>
      <x:c r="Z30" s="1004" t="str">
        <x:v>原作状态/能力</x:v>
      </x:c>
      <x:c r="AA30" s="587" t="str">
        <x:v>面板名“咒印·血解”保留“天之咒印”的核心识别词或完整正式名。新增后缀仅用于反映卡牌机制与区分动作，不冒充新的官方招式。</x:v>
      </x:c>
      <x:c r="AB30" s="587" t="str">
        <x:v>https://naruto.fandom.com/wiki/Cursed_Seal_of_Heaven</x:v>
      </x:c>
      <x:c r="AC30" s="572" t="str">
        <x:v>否</x:v>
      </x:c>
      <x:c r="AD30" s="573" t="str">
        <x:v>—</x:v>
      </x:c>
      <x:c r="AE30" s="587" t="str">
        <x:v>研究用候选ID；待最新 public-beta 本地审计</x:v>
      </x:c>
      <x:c r="AF30" s="573" t="str">
        <x:v>https://slaythespire.wiki.gg/wiki/Module%3ACards/StS2_data/Ironclad | https://slaythespire.wiki.gg/wiki/Slay_the_Spire_2%3AV0.109.0_-_Beta_Patch</x:v>
      </x:c>
      <x:c r="AG30" s="1563" t="str">
        <x:v>https://slaythespire.wiki.gg/wiki/Slay_the_Spire_2%3AV0.109.0_-_Beta_Patch</x:v>
      </x:c>
      <x:c r="AH30" s="573" t="str">
        <x:v>https://slaythespire.wiki.gg/wiki/Module%3ACards/StS2_data/Ironclad | https://slaythespire.wiki.gg/wiki/Slay_the_Spire_2%3AV0.109.0_-_Beta_Patch</x:v>
      </x:c>
      <x:c r="AI30" s="1292" t="str">
        <x:v>https://slaythespire.wiki.gg/wiki/Slay_the_Spire_2%3AV0.109.0_-_Beta_Patch</x:v>
      </x:c>
    </x:row>
    <x:row r="31" ht="106" customHeight="1">
      <x:c r="A31" s="1562" t="n">
        <x:v>27</x:v>
      </x:c>
      <x:c r="B31" s="572" t="str">
        <x:v>战士普通卡</x:v>
      </x:c>
      <x:c r="C31" s="573" t="str">
        <x:v>重锤</x:v>
      </x:c>
      <x:c r="D31" s="572" t="str">
        <x:v>Bludgeon</x:v>
      </x:c>
      <x:c r="E31" s="573" t="str">
        <x:v>Bludgeon</x:v>
      </x:c>
      <x:c r="F31" s="572" t="str">
        <x:v>罕见</x:v>
      </x:c>
      <x:c r="G31" s="572" t="str">
        <x:v>3</x:v>
      </x:c>
      <x:c r="H31" s="572" t="str">
        <x:v>攻击</x:v>
      </x:c>
      <x:c r="I31" s="573" t="str">
        <x:v>造成32点伤害。</x:v>
      </x:c>
      <x:c r="J31" s="573" t="str">
        <x:v>造成42点伤害。</x:v>
      </x:c>
      <x:c r="K31" s="573" t="str">
        <x:v>高额伤害</x:v>
      </x:c>
      <x:c r="L31" s="573" t="str">
        <x:v>卡池=战士普通卡；类型=攻击；稀有度=罕见；费用=3；目标=单体敌人；基础效果=造成32点伤害。；升级效果=造成42点伤害。；关键词=高额伤害</x:v>
      </x:c>
      <x:c r="M31" s="572" t="n">
        <x:v>0</x:v>
      </x:c>
      <x:c r="N31" s="573" t="str">
        <x:v>0（未发现开服后官方稀有度变更记录）</x:v>
      </x:c>
      <x:c r="O31" s="1597" t="str">
        <x:v>千鸟真枪</x:v>
      </x:c>
      <x:c r="P31" s="1602" t="str">
        <x:v>千鸟真枪</x:v>
      </x:c>
      <x:c r="Q31" s="1603" t="str">
        <x:v>正式招式名原样采用</x:v>
      </x:c>
      <x:c r="R31" s="1604" t="str">
        <x:v>核心目录</x:v>
      </x:c>
      <x:c r="S31" s="1134" t="str">
        <x:v>T4 决战</x:v>
      </x:c>
      <x:c r="T31" s="784" t="str">
        <x:v>《究极风暴》白衣/Hebi佐助的中距离千鸟锐枪爆发奥义。</x:v>
      </x:c>
      <x:c r="U31" s="1610" t="str">
        <x:v>无</x:v>
      </x:c>
      <x:c r="V31" s="1611" t="str">
        <x:v>本牌不得开启、延长或强化敌人/场景的写轮眼解析。阶段4角色自身红眼常驻属于形态表现，不代表本牌触发易伤解析。</x:v>
      </x:c>
      <x:c r="W31" s="1003" t="str">
        <x:v>合理性：单次极高伤害且无附加机制，适合雷遁灌注草薙剑后的蓄力纵断，以重量与电压表现纯粹终结力。联动：最适合接 Setup Strike、Inflame、Demon Form、Unrelenting 或 One-Two Punch，不需要额外状态解释。</x:v>
      </x:c>
      <x:c r="X31" s="1003" t="str">
        <x:v>强度定位：T4 决战。稀有度=罕见，费用=3，效果核心为“造成32点伤害。”。高费用、高条件、高额数值或回合核心；可使用豪龙火、咒印二防御、禁忌解放等决战级名称。 因此采用“千鸟真枪”，避免名称强度高于或低于卡牌实际表现。</x:v>
      </x:c>
      <x:c r="Y31" s="1002" t="str">
        <x:v>Chidori True Spear / 千鳥真槍</x:v>
      </x:c>
      <x:c r="Z31" s="1004" t="str">
        <x:v>究极风暴正式奥义</x:v>
      </x:c>
      <x:c r="AA31" s="587" t="str">
        <x:v>面板名“千鸟真枪”保留“千鸟真枪”的核心识别词或完整正式名。新增后缀仅用于反映卡牌机制与区分动作，不冒充新的官方招式。</x:v>
      </x:c>
      <x:c r="AB31" s="587" t="str">
        <x:v>https://naruto.fandom.com/wiki/Chidori_True_Spear</x:v>
      </x:c>
      <x:c r="AC31" s="572" t="str">
        <x:v>否</x:v>
      </x:c>
      <x:c r="AD31" s="573" t="str">
        <x:v>—</x:v>
      </x:c>
      <x:c r="AE31" s="587" t="str">
        <x:v>研究用候选ID；待最新 public-beta 本地审计</x:v>
      </x:c>
      <x:c r="AF31" s="573" t="str">
        <x:v>https://slaythespire.wiki.gg/wiki/Module%3ACards/StS2_data/Ironclad</x:v>
      </x:c>
      <x:c r="AG31" s="1563"/>
      <x:c r="AH31" s="573" t="str">
        <x:v>https://slaythespire.wiki.gg/wiki/Module%3ACards/StS2_data/Ironclad</x:v>
      </x:c>
      <x:c r="AI31" s="1292"/>
    </x:row>
    <x:row r="32" ht="106" customHeight="1">
      <x:c r="A32" s="1562" t="n">
        <x:v>28</x:v>
      </x:c>
      <x:c r="B32" s="572" t="str">
        <x:v>战士普通卡</x:v>
      </x:c>
      <x:c r="C32" s="573" t="str">
        <x:v>欺凌</x:v>
      </x:c>
      <x:c r="D32" s="572" t="str">
        <x:v>Bully</x:v>
      </x:c>
      <x:c r="E32" s="573" t="str">
        <x:v>Bully</x:v>
      </x:c>
      <x:c r="F32" s="572" t="str">
        <x:v>罕见</x:v>
      </x:c>
      <x:c r="G32" s="572" t="str">
        <x:v>0</x:v>
      </x:c>
      <x:c r="H32" s="572" t="str">
        <x:v>攻击</x:v>
      </x:c>
      <x:c r="I32" s="573" t="str">
        <x:v>造成4点伤害；目标每有1层易伤，额外造成2点伤害。</x:v>
      </x:c>
      <x:c r="J32" s="573" t="str">
        <x:v>造成4点伤害；目标每有1层易伤，额外造成3点伤害。</x:v>
      </x:c>
      <x:c r="K32" s="573" t="str">
        <x:v>易伤利用；写轮眼关联</x:v>
      </x:c>
      <x:c r="L32" s="573" t="str">
        <x:v>卡池=战士普通卡；类型=攻击；稀有度=罕见；费用=0；目标=单体敌人；基础效果=造成4点伤害；目标每有1层易伤，额外造成2点伤害。；升级效果=造成4点伤害；目标每有1层易伤，额外造成3点伤害。；关键词=易伤利用；写轮眼关联</x:v>
      </x:c>
      <x:c r="M32" s="572" t="n">
        <x:v>0</x:v>
      </x:c>
      <x:c r="N32" s="573" t="str">
        <x:v>0（未发现开服后官方稀有度变更记录）</x:v>
      </x:c>
      <x:c r="O32" s="1597" t="str">
        <x:v>瞬·追隙</x:v>
      </x:c>
      <x:c r="P32" s="1602" t="str">
        <x:v>瞬</x:v>
      </x:c>
      <x:c r="Q32" s="1603" t="str">
        <x:v>原著识别型项目命名（基于“瞬”）</x:v>
      </x:c>
      <x:c r="R32" s="1604" t="str">
        <x:v>核心目录</x:v>
      </x:c>
      <x:c r="S32" s="1134" t="str">
        <x:v>T2 进阶</x:v>
      </x:c>
      <x:c r="T32" s="784" t="str">
        <x:v>《究极风暴》白衣/Hebi佐助的高速雷遁突进动作。</x:v>
      </x:c>
      <x:c r="U32" s="1610" t="str">
        <x:v>利用易伤｜条件开启/维持</x:v>
      </x:c>
      <x:c r="V32" s="1611" t="str">
        <x:v>目标已有易伤时开启或维持写轮眼解析，并按易伤层数增加弱点标记密度；目标无易伤时使用普通高速攻击版本。</x:v>
      </x:c>
      <x:c r="W32" s="1003" t="str">
        <x:v>合理性：零费且随易伤层数增长，表现为写轮眼锁定已经暴露的弱点后，以极小动作成本连续追击。联动：必须依赖 Bash、Taunt、Thunderclap、Tremble、Uppercut、Dominate 等易伤入口，是写轮眼体系的轻量兑现牌。</x:v>
      </x:c>
      <x:c r="X32" s="1003" t="str">
        <x:v>强度定位：T2 进阶。稀有度=罕见，费用=0，效果核心为“造成4点伤害；目标每有1层易伤，额外造成2点伤害。”。中等数值或机制启动牌；使用进阶剑术、火遁、雷遁、忍具或咒印一阶段等表达，但避免最高奥义措辞。 因此采用“瞬·追隙”，避免名称强度高于或低于卡牌实际表现。</x:v>
      </x:c>
      <x:c r="Y32" s="1002" t="str">
        <x:v>Flicker / 瞬</x:v>
      </x:c>
      <x:c r="Z32" s="1004" t="str">
        <x:v>究极风暴正式招式</x:v>
      </x:c>
      <x:c r="AA32" s="587" t="str">
        <x:v>面板名“瞬·追隙”保留“瞬”的核心识别词或完整正式名。新增后缀仅用于反映卡牌机制与区分动作，不冒充新的官方招式。</x:v>
      </x:c>
      <x:c r="AB32" s="587" t="str">
        <x:v>https://naruto-ultimate-ninja-storm.fandom.com/wiki/Sasuke_Uchiha/Move_List</x:v>
      </x:c>
      <x:c r="AC32" s="572" t="str">
        <x:v>否</x:v>
      </x:c>
      <x:c r="AD32" s="573" t="str">
        <x:v>—</x:v>
      </x:c>
      <x:c r="AE32" s="587" t="str">
        <x:v>研究用候选ID；待最新 public-beta 本地审计</x:v>
      </x:c>
      <x:c r="AF32" s="573" t="str">
        <x:v>https://slaythespire.wiki.gg/wiki/Module%3ACards/StS2_data/Ironclad</x:v>
      </x:c>
      <x:c r="AG32" s="1563"/>
      <x:c r="AH32" s="573" t="str">
        <x:v>https://slaythespire.wiki.gg/wiki/Module%3ACards/StS2_data/Ironclad</x:v>
      </x:c>
      <x:c r="AI32" s="1292"/>
    </x:row>
    <x:row r="33" ht="106" customHeight="1">
      <x:c r="A33" s="1562" t="n">
        <x:v>29</x:v>
      </x:c>
      <x:c r="B33" s="572" t="str">
        <x:v>战士普通卡</x:v>
      </x:c>
      <x:c r="C33" s="573" t="str">
        <x:v>燃烧契约</x:v>
      </x:c>
      <x:c r="D33" s="572" t="str">
        <x:v>BurningPact</x:v>
      </x:c>
      <x:c r="E33" s="573" t="str">
        <x:v>Burning Pact</x:v>
      </x:c>
      <x:c r="F33" s="572" t="str">
        <x:v>罕见</x:v>
      </x:c>
      <x:c r="G33" s="572" t="str">
        <x:v>1</x:v>
      </x:c>
      <x:c r="H33" s="572" t="str">
        <x:v>技能</x:v>
      </x:c>
      <x:c r="I33" s="573" t="str">
        <x:v>消耗手牌中的1张牌；抽2张牌。</x:v>
      </x:c>
      <x:c r="J33" s="573" t="str">
        <x:v>消耗手牌中的1张牌；抽3张牌。</x:v>
      </x:c>
      <x:c r="K33" s="573" t="str">
        <x:v>消耗；抽牌</x:v>
      </x:c>
      <x:c r="L33" s="573" t="str">
        <x:v>卡池=战士普通卡；类型=技能；稀有度=罕见；费用=1；目标=自身/手牌；基础效果=消耗手牌中的1张牌；抽2张牌。；升级效果=消耗手牌中的1张牌；抽3张牌。；关键词=消耗；抽牌</x:v>
      </x:c>
      <x:c r="M33" s="572" t="n">
        <x:v>0</x:v>
      </x:c>
      <x:c r="N33" s="573" t="str">
        <x:v>0（未发现开服后官方稀有度变更记录）</x:v>
      </x:c>
      <x:c r="O33" s="1597" t="str">
        <x:v>咒印·献契</x:v>
      </x:c>
      <x:c r="P33" s="1602" t="str">
        <x:v>天之咒印</x:v>
      </x:c>
      <x:c r="Q33" s="1603" t="str">
        <x:v>原著识别型项目命名（基于“天之咒印”）</x:v>
      </x:c>
      <x:c r="R33" s="1604" t="str">
        <x:v>核心目录</x:v>
      </x:c>
      <x:c r="S33" s="1134" t="str">
        <x:v>T2 进阶</x:v>
      </x:c>
      <x:c r="T33" s="784" t="str">
        <x:v>白衣/Hebi对大蛇丸、迪达拉及鼬的战斗中实际激活。</x:v>
      </x:c>
      <x:c r="U33" s="1610" t="str">
        <x:v>无</x:v>
      </x:c>
      <x:c r="V33" s="1611" t="str">
        <x:v>本牌不得开启、延长或强化敌人/场景的写轮眼解析。阶段4角色自身红眼常驻属于形态表现，不代表本牌触发易伤解析。</x:v>
      </x:c>
      <x:c r="W33" s="1003" t="str">
        <x:v>合理性：消耗一张牌换取更多抽牌，咒印献祭旧的战斗选择并转换成新的可能性，语义完全一致。联动：触发 Feel No Pain、Dark Embrace、Evil Eye、Forgotten Ritual，并推进 Ashen Strike、Pact's End、Fiend Fire 和 Midnight。</x:v>
      </x:c>
      <x:c r="X33" s="1003" t="str">
        <x:v>强度定位：T2 进阶。稀有度=罕见，费用=1，效果核心为“消耗手牌中的1张牌；抽2张牌。”。中等数值或机制启动牌；使用进阶剑术、火遁、雷遁、忍具或咒印一阶段等表达，但避免最高奥义措辞。 因此采用“咒印·献契”，避免名称强度高于或低于卡牌实际表现。</x:v>
      </x:c>
      <x:c r="Y33" s="1002" t="str">
        <x:v>Cursed Seal of Heaven / 天の呪印</x:v>
      </x:c>
      <x:c r="Z33" s="1004" t="str">
        <x:v>原作状态/能力</x:v>
      </x:c>
      <x:c r="AA33" s="587" t="str">
        <x:v>面板名“咒印·献契”保留“天之咒印”的核心识别词或完整正式名。新增后缀仅用于反映卡牌机制与区分动作，不冒充新的官方招式。</x:v>
      </x:c>
      <x:c r="AB33" s="587" t="str">
        <x:v>https://naruto.fandom.com/wiki/Cursed_Seal_of_Heaven</x:v>
      </x:c>
      <x:c r="AC33" s="572" t="str">
        <x:v>否</x:v>
      </x:c>
      <x:c r="AD33" s="573" t="str">
        <x:v>—</x:v>
      </x:c>
      <x:c r="AE33" s="587" t="str">
        <x:v>研究用候选ID；待最新 public-beta 本地审计</x:v>
      </x:c>
      <x:c r="AF33" s="573" t="str">
        <x:v>https://slaythespire.wiki.gg/wiki/Module%3ACards/StS2_data/Ironclad</x:v>
      </x:c>
      <x:c r="AG33" s="1563"/>
      <x:c r="AH33" s="573" t="str">
        <x:v>https://slaythespire.wiki.gg/wiki/Module%3ACards/StS2_data/Ironclad</x:v>
      </x:c>
      <x:c r="AI33" s="1292"/>
    </x:row>
    <x:row r="34" ht="106" customHeight="1">
      <x:c r="A34" s="1562" t="n">
        <x:v>30</x:v>
      </x:c>
      <x:c r="B34" s="572" t="str">
        <x:v>战士普通卡</x:v>
      </x:c>
      <x:c r="C34" s="573" t="str">
        <x:v>巨像</x:v>
      </x:c>
      <x:c r="D34" s="572" t="str">
        <x:v>Colossus</x:v>
      </x:c>
      <x:c r="E34" s="573" t="str">
        <x:v>Colossus</x:v>
      </x:c>
      <x:c r="F34" s="572" t="str">
        <x:v>罕见</x:v>
      </x:c>
      <x:c r="G34" s="572" t="str">
        <x:v>1</x:v>
      </x:c>
      <x:c r="H34" s="572" t="str">
        <x:v>技能</x:v>
      </x:c>
      <x:c r="I34" s="573" t="str">
        <x:v>获得4点格挡；本回合受到处于易伤状态敌人的伤害降低50%。</x:v>
      </x:c>
      <x:c r="J34" s="573" t="str">
        <x:v>获得7点格挡；本回合受到处于易伤状态敌人的伤害降低50%。</x:v>
      </x:c>
      <x:c r="K34" s="573" t="str">
        <x:v>格挡；易伤防御；写轮眼关联</x:v>
      </x:c>
      <x:c r="L34" s="573" t="str">
        <x:v>卡池=战士普通卡；类型=技能；稀有度=罕见；费用=1；目标=自身；基础效果=获得4点格挡；本回合受到处于易伤状态敌人的伤害降低50%。；升级效果=获得7点格挡；本回合受到处于易伤状态敌人的伤害降低50%。；关键词=格挡；易伤防御；写轮眼关联</x:v>
      </x:c>
      <x:c r="M34" s="572" t="n">
        <x:v>1</x:v>
      </x:c>
      <x:c r="N34" s="573" t="str">
        <x:v>1次：v0.103.0，稀有→罕见</x:v>
      </x:c>
      <x:c r="O34" s="1597" t="str">
        <x:v>写轮眼·见切</x:v>
      </x:c>
      <x:c r="P34" s="1602" t="str">
        <x:v>写轮眼</x:v>
      </x:c>
      <x:c r="Q34" s="1603" t="str">
        <x:v>原著识别型项目命名（基于“写轮眼”）</x:v>
      </x:c>
      <x:c r="R34" s="1604" t="str">
        <x:v>核心目录</x:v>
      </x:c>
      <x:c r="S34" s="1134" t="str">
        <x:v>T2 进阶</x:v>
      </x:c>
      <x:c r="T34" s="784" t="str">
        <x:v>白衣/Hebi与兄弟之战中实际开启，用于观察、预判和幻术。</x:v>
      </x:c>
      <x:c r="U34" s="1610" t="str">
        <x:v>针对易伤防御｜条件开启/维持</x:v>
      </x:c>
      <x:c r="V34" s="1611" t="str">
        <x:v>仅当处于易伤状态的敌人攻击佐助时显示动作预判和受流路线；其他敌人的攻击不得触发写轮眼解析。</x:v>
      </x:c>
      <x:c r="W34" s="1003" t="str">
        <x:v>合理性：只减少来自易伤敌人的伤害，说明佐助不是单纯变硬，而是通过写轮眼看穿其发力路线后用蛇鳞和最小动作防御。联动：依赖 Bash、Taunt、Thunderclap、Tremble、Uppercut 等易伤牌，也可与 Tank、Barricade 共同承担团队防线。</x:v>
      </x:c>
      <x:c r="X34" s="1003" t="str">
        <x:v>强度定位：T2 进阶。稀有度=罕见，费用=1，效果核心为“获得4点格挡；本回合受到处于易伤状态敌人的伤害降低50%。”。中等数值或机制启动牌；使用进阶剑术、火遁、雷遁、忍具或咒印一阶段等表达，但避免最高奥义措辞。 因此采用“写轮眼·见切”，避免名称强度高于或低于卡牌实际表现。</x:v>
      </x:c>
      <x:c r="Y34" s="1002" t="str">
        <x:v>Sharingan / 写輪眼</x:v>
      </x:c>
      <x:c r="Z34" s="1004" t="str">
        <x:v>原作漫画、动画、资料书</x:v>
      </x:c>
      <x:c r="AA34" s="587" t="str">
        <x:v>面板名“写轮眼·见切”保留“写轮眼”的核心识别词或完整正式名。新增后缀仅用于反映卡牌机制与区分动作，不冒充新的官方招式。</x:v>
      </x:c>
      <x:c r="AB34" s="587" t="str">
        <x:v>https://naruto.fandom.com/wiki/Sasuke_Uchiha</x:v>
      </x:c>
      <x:c r="AC34" s="572" t="str">
        <x:v>否</x:v>
      </x:c>
      <x:c r="AD34" s="573" t="str">
        <x:v>—</x:v>
      </x:c>
      <x:c r="AE34" s="587" t="str">
        <x:v>研究用候选ID；待最新 public-beta 本地审计</x:v>
      </x:c>
      <x:c r="AF34" s="573" t="str">
        <x:v>https://slaythespire.wiki.gg/wiki/Module%3ACards/StS2_data/Ironclad | https://slaythespire.wiki.gg/wiki/Slay_the_Spire_2%3AV0.103.0_-_Beta_Patch</x:v>
      </x:c>
      <x:c r="AG34" s="1563" t="str">
        <x:v>https://slaythespire.wiki.gg/wiki/Slay_the_Spire_2%3AV0.103.0_-_Beta_Patch</x:v>
      </x:c>
      <x:c r="AH34" s="573" t="str">
        <x:v>https://slaythespire.wiki.gg/wiki/Module%3ACards/StS2_data/Ironclad | https://slaythespire.wiki.gg/wiki/Slay_the_Spire_2%3AV0.103.0_-_Beta_Patch</x:v>
      </x:c>
      <x:c r="AI34" s="1292" t="str">
        <x:v>https://slaythespire.wiki.gg/wiki/Slay_the_Spire_2%3AV0.103.0_-_Beta_Patch</x:v>
      </x:c>
    </x:row>
    <x:row r="35" ht="106" customHeight="1">
      <x:c r="A35" s="1562" t="n">
        <x:v>31</x:v>
      </x:c>
      <x:c r="B35" s="572" t="str">
        <x:v>战士普通卡</x:v>
      </x:c>
      <x:c r="C35" s="573" t="str">
        <x:v>残酷</x:v>
      </x:c>
      <x:c r="D35" s="572" t="str">
        <x:v>Cruelty</x:v>
      </x:c>
      <x:c r="E35" s="573" t="str">
        <x:v>Cruelty</x:v>
      </x:c>
      <x:c r="F35" s="572" t="str">
        <x:v>罕见</x:v>
      </x:c>
      <x:c r="G35" s="572" t="str">
        <x:v>1</x:v>
      </x:c>
      <x:c r="H35" s="572" t="str">
        <x:v>能力</x:v>
      </x:c>
      <x:c r="I35" s="573" t="str">
        <x:v>处于易伤状态的敌人额外受到25%伤害。</x:v>
      </x:c>
      <x:c r="J35" s="573" t="str">
        <x:v>额外伤害提升为50%。</x:v>
      </x:c>
      <x:c r="K35" s="573" t="str">
        <x:v>能力；易伤增幅；写轮眼关联</x:v>
      </x:c>
      <x:c r="L35" s="573" t="str">
        <x:v>卡池=战士普通卡；类型=能力；稀有度=罕见；费用=1；目标=所有易伤敌人；基础效果=处于易伤状态的敌人额外受到25%伤害。；升级效果=额外伤害提升为50%。；关键词=能力；易伤增幅；写轮眼关联</x:v>
      </x:c>
      <x:c r="M35" s="572" t="n">
        <x:v>1</x:v>
      </x:c>
      <x:c r="N35" s="573" t="str">
        <x:v>1次：v0.109.0，稀有→罕见</x:v>
      </x:c>
      <x:c r="O35" s="1597" t="str">
        <x:v>写轮眼·死角解析</x:v>
      </x:c>
      <x:c r="P35" s="1602" t="str">
        <x:v>写轮眼</x:v>
      </x:c>
      <x:c r="Q35" s="1603" t="str">
        <x:v>原著识别型项目命名（基于“写轮眼”）</x:v>
      </x:c>
      <x:c r="R35" s="1604" t="str">
        <x:v>核心目录</x:v>
      </x:c>
      <x:c r="S35" s="1134" t="str">
        <x:v>T3 高阶</x:v>
      </x:c>
      <x:c r="T35" s="784" t="str">
        <x:v>白衣/Hebi与兄弟之战中实际开启，用于观察、预判和幻术。</x:v>
      </x:c>
      <x:c r="U35" s="1610" t="str">
        <x:v>易伤全局增幅｜持续解析</x:v>
      </x:c>
      <x:c r="V35" s="1611" t="str">
        <x:v>场上存在易伤敌人时维持写轮眼解析；每个易伤目标分别显示死角标记。最后一个易伤消失后关闭场景解析。</x:v>
      </x:c>
      <x:c r="W35" s="1003" t="str">
        <x:v>合理性：让所有易伤敌人受到更高伤害，可表现为写轮眼持续加深对弱点的解析，而不是一次攻击。联动：强化整个易伤体系，尤其适合接 Thunderclap 后的 Whirlwind、Conflagration，以及对单体的 Bully、Dismantle、Fiend Fire。</x:v>
      </x:c>
      <x:c r="X35" s="1003" t="str">
        <x:v>强度定位：T3 高阶。稀有度=罕见，费用=1，效果核心为“处于易伤状态的敌人额外受到25%伤害。”。稀有度、数值或联动价值较高；使用高阶草薙剑、千鸟变化、蛇术或强协同名称，但不占用最终变身/终结名。 因此采用“写轮眼·死角解析”，避免名称强度高于或低于卡牌实际表现。</x:v>
      </x:c>
      <x:c r="Y35" s="1002" t="str">
        <x:v>Sharingan / 写輪眼</x:v>
      </x:c>
      <x:c r="Z35" s="1004" t="str">
        <x:v>原作漫画、动画、资料书</x:v>
      </x:c>
      <x:c r="AA35" s="587" t="str">
        <x:v>面板名“写轮眼·死角解析”保留“写轮眼”的核心识别词或完整正式名。新增后缀仅用于反映卡牌机制与区分动作，不冒充新的官方招式。</x:v>
      </x:c>
      <x:c r="AB35" s="587" t="str">
        <x:v>https://naruto.fandom.com/wiki/Sasuke_Uchiha</x:v>
      </x:c>
      <x:c r="AC35" s="572" t="str">
        <x:v>否</x:v>
      </x:c>
      <x:c r="AD35" s="573" t="str">
        <x:v>—</x:v>
      </x:c>
      <x:c r="AE35" s="587" t="str">
        <x:v>研究用候选ID；待最新 public-beta 本地审计</x:v>
      </x:c>
      <x:c r="AF35" s="573" t="str">
        <x:v>https://slaythespire.wiki.gg/wiki/Module%3ACards/StS2_data/Ironclad | https://slaythespire.wiki.gg/wiki/Slay_the_Spire_2%3AV0.109.0_-_Beta_Patch</x:v>
      </x:c>
      <x:c r="AG35" s="1563" t="str">
        <x:v>https://slaythespire.wiki.gg/wiki/Slay_the_Spire_2%3AV0.109.0_-_Beta_Patch</x:v>
      </x:c>
      <x:c r="AH35" s="573" t="str">
        <x:v>https://slaythespire.wiki.gg/wiki/Module%3ACards/StS2_data/Ironclad | https://slaythespire.wiki.gg/wiki/Slay_the_Spire_2%3AV0.109.0_-_Beta_Patch</x:v>
      </x:c>
      <x:c r="AI35" s="1292" t="str">
        <x:v>https://slaythespire.wiki.gg/wiki/Slay_the_Spire_2%3AV0.109.0_-_Beta_Patch</x:v>
      </x:c>
    </x:row>
    <x:row r="36" ht="106" customHeight="1">
      <x:c r="A36" s="1562" t="n">
        <x:v>32</x:v>
      </x:c>
      <x:c r="B36" s="572" t="str">
        <x:v>战士普通卡</x:v>
      </x:c>
      <x:c r="C36" s="573" t="str">
        <x:v>拆解</x:v>
      </x:c>
      <x:c r="D36" s="572" t="str">
        <x:v>Dismantle</x:v>
      </x:c>
      <x:c r="E36" s="573" t="str">
        <x:v>Dismantle</x:v>
      </x:c>
      <x:c r="F36" s="572" t="str">
        <x:v>罕见</x:v>
      </x:c>
      <x:c r="G36" s="572" t="str">
        <x:v>1</x:v>
      </x:c>
      <x:c r="H36" s="572" t="str">
        <x:v>攻击</x:v>
      </x:c>
      <x:c r="I36" s="573" t="str">
        <x:v>造成8点伤害；若目标处于易伤，则攻击2次。</x:v>
      </x:c>
      <x:c r="J36" s="573" t="str">
        <x:v>造成10点伤害；若目标处于易伤，则攻击2次。</x:v>
      </x:c>
      <x:c r="K36" s="573" t="str">
        <x:v>易伤利用；双段；写轮眼关联</x:v>
      </x:c>
      <x:c r="L36" s="573" t="str">
        <x:v>卡池=战士普通卡；类型=攻击；稀有度=罕见；费用=1；目标=单体敌人；基础效果=造成8点伤害；若目标处于易伤，则攻击2次。；升级效果=造成10点伤害；若目标处于易伤，则攻击2次。；关键词=易伤利用；双段；写轮眼关联</x:v>
      </x:c>
      <x:c r="M36" s="572" t="n">
        <x:v>0</x:v>
      </x:c>
      <x:c r="N36" s="573" t="str">
        <x:v>0（未发现开服后官方稀有度变更记录）</x:v>
      </x:c>
      <x:c r="O36" s="1597" t="str">
        <x:v>草薙剑·破绽二连斩</x:v>
      </x:c>
      <x:c r="P36" s="1602" t="str">
        <x:v>居合</x:v>
      </x:c>
      <x:c r="Q36" s="1603" t="str">
        <x:v>原著识别型项目命名（基于“居合”）</x:v>
      </x:c>
      <x:c r="R36" s="1604" t="str">
        <x:v>动作根目录</x:v>
      </x:c>
      <x:c r="S36" s="1134" t="str">
        <x:v>T2 进阶</x:v>
      </x:c>
      <x:c r="T36" s="784" t="str">
        <x:v>白衣/Hebi与兄弟之战的基础草薙剑近战体系。</x:v>
      </x:c>
      <x:c r="U36" s="1610" t="str">
        <x:v>利用易伤｜条件开启/维持</x:v>
      </x:c>
      <x:c r="V36" s="1611" t="str">
        <x:v>目标易伤时显示第一刀拆架势、第二刀沿弱点线追击；目标无易伤时只播放单次普通斩击。</x:v>
      </x:c>
      <x:c r="W36" s="1003" t="str">
        <x:v>合理性：目标易伤时攻击两次，适合草薙剑第一刀拆开架势、第二刀沿写轮眼标出的结构线完成切断。联动：依赖所有易伤入口，并能继续受 Cruelty、Dominate、Setup Strike、One-Two Punch 和力量体系放大。</x:v>
      </x:c>
      <x:c r="X36" s="1003" t="str">
        <x:v>强度定位：T2 进阶。稀有度=罕见，费用=1，效果核心为“造成8点伤害；若目标处于易伤，则攻击2次。”。中等数值或机制启动牌；使用进阶剑术、火遁、雷遁、忍具或咒印一阶段等表达，但避免最高奥义措辞。 因此采用“草薙剑·破绽二连斩”，避免名称强度高于或低于卡牌实际表现。</x:v>
      </x:c>
      <x:c r="Y36" s="1002" t="str">
        <x:v>Iaidō / 居合</x:v>
      </x:c>
      <x:c r="Z36" s="1004" t="str">
        <x:v>原作角色招式资料</x:v>
      </x:c>
      <x:c r="AA36" s="587" t="str">
        <x:v>面板名“草薙剑·破绽二连斩”保留“居合”的核心识别词或完整正式名。新增后缀仅用于反映卡牌机制与区分动作，不冒充新的官方招式。</x:v>
      </x:c>
      <x:c r="AB36" s="587" t="str">
        <x:v>https://naruto.fandom.com/wiki/Sasuke_Uchiha</x:v>
      </x:c>
      <x:c r="AC36" s="572" t="str">
        <x:v>否</x:v>
      </x:c>
      <x:c r="AD36" s="573" t="str">
        <x:v>—</x:v>
      </x:c>
      <x:c r="AE36" s="587" t="str">
        <x:v>研究用候选ID；待最新 public-beta 本地审计</x:v>
      </x:c>
      <x:c r="AF36" s="573" t="str">
        <x:v>https://slaythespire.wiki.gg/wiki/Module%3ACards/StS2_data/Ironclad</x:v>
      </x:c>
      <x:c r="AG36" s="1563"/>
      <x:c r="AH36" s="573" t="str">
        <x:v>https://slaythespire.wiki.gg/wiki/Module%3ACards/StS2_data/Ironclad</x:v>
      </x:c>
      <x:c r="AI36" s="1292"/>
    </x:row>
    <x:row r="37" ht="106" customHeight="1">
      <x:c r="A37" s="1562" t="n">
        <x:v>33</x:v>
      </x:c>
      <x:c r="B37" s="572" t="str">
        <x:v>战士普通卡</x:v>
      </x:c>
      <x:c r="C37" s="573" t="str">
        <x:v>战鼓</x:v>
      </x:c>
      <x:c r="D37" s="572" t="str">
        <x:v>DrumOfBattle</x:v>
      </x:c>
      <x:c r="E37" s="573" t="str">
        <x:v>Drum of Battle</x:v>
      </x:c>
      <x:c r="F37" s="572" t="str">
        <x:v>罕见</x:v>
      </x:c>
      <x:c r="G37" s="572" t="str">
        <x:v>1</x:v>
      </x:c>
      <x:c r="H37" s="572" t="str">
        <x:v>技能</x:v>
      </x:c>
      <x:c r="I37" s="573" t="str">
        <x:v>抽2张牌；此牌被消耗时获得2点能量。</x:v>
      </x:c>
      <x:c r="J37" s="573" t="str">
        <x:v>抽2张牌；此牌被消耗时获得3点能量。</x:v>
      </x:c>
      <x:c r="K37" s="573" t="str">
        <x:v>抽牌；消耗触发；能量</x:v>
      </x:c>
      <x:c r="L37" s="573" t="str">
        <x:v>卡池=战士普通卡；类型=技能；稀有度=罕见；费用=1；目标=自身；基础效果=抽2张牌；此牌被消耗时获得2点能量。；升级效果=抽2张牌；此牌被消耗时获得3点能量。；关键词=抽牌；消耗触发；能量</x:v>
      </x:c>
      <x:c r="M37" s="572" t="n">
        <x:v>0</x:v>
      </x:c>
      <x:c r="N37" s="573" t="str">
        <x:v>0（未发现开服后官方稀有度变更记录）</x:v>
      </x:c>
      <x:c r="O37" s="1597" t="str">
        <x:v>雷光剑化·忍具阵</x:v>
      </x:c>
      <x:c r="P37" s="1602" t="str">
        <x:v>通灵·雷光剑化</x:v>
      </x:c>
      <x:c r="Q37" s="1603" t="str">
        <x:v>原著识别型项目命名（基于“通灵·雷光剑化”）</x:v>
      </x:c>
      <x:c r="R37" s="1604" t="str">
        <x:v>核心目录</x:v>
      </x:c>
      <x:c r="S37" s="1134" t="str">
        <x:v>T2 进阶</x:v>
      </x:c>
      <x:c r="T37" s="784" t="str">
        <x:v>兄弟之战中通过手腕封印实际召唤风魔手里剑和忍具。</x:v>
      </x:c>
      <x:c r="U37" s="1610" t="str">
        <x:v>无</x:v>
      </x:c>
      <x:c r="V37" s="1611" t="str">
        <x:v>本牌不得开启、延长或强化敌人/场景的写轮眼解析。阶段4角色自身红眼常驻属于形态表现，不代表本牌触发易伤解析。</x:v>
      </x:c>
      <x:c r="W37" s="1003" t="str">
        <x:v>合理性：抽牌且被消耗时返还能量，可表现为预先布置的忍具雷鸣阵，阵盘被献祭时释放储存查克拉。联动：同时服务抽牌与消耗体系，可与 Burning Pact、True Grit、Second Wind、Forgotten Ritual、Dark Embrace 和 Midnight 串联。</x:v>
      </x:c>
      <x:c r="X37" s="1003" t="str">
        <x:v>强度定位：T2 进阶。稀有度=罕见，费用=1，效果核心为“抽2张牌；此牌被消耗时获得2点能量。”。中等数值或机制启动牌；使用进阶剑术、火遁、雷遁、忍具或咒印一阶段等表达，但避免最高奥义措辞。 因此采用“雷光剑化·忍具阵”，避免名称强度高于或低于卡牌实际表现。</x:v>
      </x:c>
      <x:c r="Y37" s="1002" t="str">
        <x:v>Summoning: Lightning Flash Blade Creation / 口寄せ・雷光剣化</x:v>
      </x:c>
      <x:c r="Z37" s="1004" t="str">
        <x:v>原作漫画、动画、资料书</x:v>
      </x:c>
      <x:c r="AA37" s="587" t="str">
        <x:v>面板名“雷光剑化·忍具阵”保留“通灵·雷光剑化”的核心识别词或完整正式名。新增后缀仅用于反映卡牌机制与区分动作，不冒充新的官方招式。</x:v>
      </x:c>
      <x:c r="AB37" s="587" t="str">
        <x:v>https://naruto.fandom.com/wiki/Summoning%3A_Lightning_Flash_Blade_Creation</x:v>
      </x:c>
      <x:c r="AC37" s="572" t="str">
        <x:v>否</x:v>
      </x:c>
      <x:c r="AD37" s="573" t="str">
        <x:v>—</x:v>
      </x:c>
      <x:c r="AE37" s="587" t="str">
        <x:v>研究用候选ID；待最新 public-beta 本地审计</x:v>
      </x:c>
      <x:c r="AF37" s="573" t="str">
        <x:v>https://slaythespire.wiki.gg/wiki/Module%3ACards/StS2_data/Ironclad</x:v>
      </x:c>
      <x:c r="AG37" s="1563"/>
      <x:c r="AH37" s="573" t="str">
        <x:v>https://slaythespire.wiki.gg/wiki/Module%3ACards/StS2_data/Ironclad</x:v>
      </x:c>
      <x:c r="AI37" s="1292"/>
    </x:row>
    <x:row r="38" ht="106" customHeight="1">
      <x:c r="A38" s="1562" t="n">
        <x:v>34</x:v>
      </x:c>
      <x:c r="B38" s="572" t="str">
        <x:v>战士普通卡</x:v>
      </x:c>
      <x:c r="C38" s="573" t="str">
        <x:v>邪眼</x:v>
      </x:c>
      <x:c r="D38" s="572" t="str">
        <x:v>EvilEye</x:v>
      </x:c>
      <x:c r="E38" s="573" t="str">
        <x:v>Evil Eye</x:v>
      </x:c>
      <x:c r="F38" s="572" t="str">
        <x:v>罕见</x:v>
      </x:c>
      <x:c r="G38" s="572" t="str">
        <x:v>1</x:v>
      </x:c>
      <x:c r="H38" s="572" t="str">
        <x:v>技能</x:v>
      </x:c>
      <x:c r="I38" s="573" t="str">
        <x:v>获得8点格挡；若本回合已消耗过牌，再获得8点格挡。</x:v>
      </x:c>
      <x:c r="J38" s="573" t="str">
        <x:v>获得11点格挡；若本回合已消耗过牌，再获得11点格挡。</x:v>
      </x:c>
      <x:c r="K38" s="573" t="str">
        <x:v>格挡；消耗协同</x:v>
      </x:c>
      <x:c r="L38" s="573" t="str">
        <x:v>卡池=战士普通卡；类型=技能；稀有度=罕见；费用=1；目标=自身；基础效果=获得8点格挡；若本回合已消耗过牌，再获得8点格挡。；升级效果=获得11点格挡；若本回合已消耗过牌，再获得11点格挡。；关键词=格挡；消耗协同</x:v>
      </x:c>
      <x:c r="M38" s="572" t="n">
        <x:v>0</x:v>
      </x:c>
      <x:c r="N38" s="573" t="str">
        <x:v>0（未发现开服后官方稀有度变更记录）</x:v>
      </x:c>
      <x:c r="O38" s="1597" t="str">
        <x:v>大蛇丸流·二重蜕皮</x:v>
      </x:c>
      <x:c r="P38" s="1602" t="str">
        <x:v>大蛇丸流替身术</x:v>
      </x:c>
      <x:c r="Q38" s="1603" t="str">
        <x:v>原著识别型项目命名（基于“大蛇丸流替身术”）</x:v>
      </x:c>
      <x:c r="R38" s="1604" t="str">
        <x:v>核心目录</x:v>
      </x:c>
      <x:c r="S38" s="1134" t="str">
        <x:v>T2 进阶</x:v>
      </x:c>
      <x:c r="T38" s="784" t="str">
        <x:v>兄弟之战对鼬实际使用的蜕皮替身术。</x:v>
      </x:c>
      <x:c r="U38" s="1610" t="str">
        <x:v>无</x:v>
      </x:c>
      <x:c r="V38" s="1611" t="str">
        <x:v>本牌不得开启、延长或强化敌人/场景的写轮眼解析。阶段4角色自身红眼常驻属于形态表现，不代表本牌触发易伤解析。</x:v>
      </x:c>
      <x:c r="W38" s="1003" t="str">
        <x:v>合理性：先获得格挡，若本回合已消耗牌则再获得一次格挡，适合以第一次防御和消耗后的第二层蜕皮外壳表现。联动：接 Burning Pact、True Grit、Cinder、Second Wind 或 Stoke；产生的高格挡再供 Body Slam、Juggernaut、Demonic Shield 使用。</x:v>
      </x:c>
      <x:c r="X38" s="1003" t="str">
        <x:v>强度定位：T2 进阶。稀有度=罕见，费用=1，效果核心为“获得8点格挡；若本回合已消耗过牌，再获得8点格挡。”。中等数值或机制启动牌；使用进阶剑术、火遁、雷遁、忍具或咒印一阶段等表达，但避免最高奥义措辞。 因此采用“大蛇丸流·二重蜕皮”，避免名称强度高于或低于卡牌实际表现。</x:v>
      </x:c>
      <x:c r="Y38" s="1002" t="str">
        <x:v>Orochimaru-Style Body Replacement Technique / 大蛇丸流の変わり身の術</x:v>
      </x:c>
      <x:c r="Z38" s="1004" t="str">
        <x:v>原作漫画、动画、游戏</x:v>
      </x:c>
      <x:c r="AA38" s="587" t="str">
        <x:v>面板名“大蛇丸流·二重蜕皮”保留“大蛇丸流替身术”的核心识别词或完整正式名。新增后缀仅用于反映卡牌机制与区分动作，不冒充新的官方招式。</x:v>
      </x:c>
      <x:c r="AB38" s="587" t="str">
        <x:v>https://naruto.fandom.com/wiki/Orochimaru-Style_Body_Replacement_Technique</x:v>
      </x:c>
      <x:c r="AC38" s="572" t="str">
        <x:v>否</x:v>
      </x:c>
      <x:c r="AD38" s="573" t="str">
        <x:v>—</x:v>
      </x:c>
      <x:c r="AE38" s="587" t="str">
        <x:v>研究用候选ID；待最新 public-beta 本地审计</x:v>
      </x:c>
      <x:c r="AF38" s="573" t="str">
        <x:v>https://slaythespire.wiki.gg/wiki/Module%3ACards/StS2_data/Ironclad</x:v>
      </x:c>
      <x:c r="AG38" s="1563"/>
      <x:c r="AH38" s="573" t="str">
        <x:v>https://slaythespire.wiki.gg/wiki/Module%3ACards/StS2_data/Ironclad</x:v>
      </x:c>
      <x:c r="AI38" s="1292"/>
    </x:row>
    <x:row r="39" ht="106" customHeight="1">
      <x:c r="A39" s="1562" t="n">
        <x:v>35</x:v>
      </x:c>
      <x:c r="B39" s="572" t="str">
        <x:v>战士普通卡</x:v>
      </x:c>
      <x:c r="C39" s="573" t="str">
        <x:v>备战</x:v>
      </x:c>
      <x:c r="D39" s="572" t="str">
        <x:v>ExpectAFight</x:v>
      </x:c>
      <x:c r="E39" s="573" t="str">
        <x:v>Expect a Fight</x:v>
      </x:c>
      <x:c r="F39" s="572" t="str">
        <x:v>罕见</x:v>
      </x:c>
      <x:c r="G39" s="572" t="str">
        <x:v>2→1</x:v>
      </x:c>
      <x:c r="H39" s="572" t="str">
        <x:v>技能</x:v>
      </x:c>
      <x:c r="I39" s="573" t="str">
        <x:v>手牌中每有1张攻击牌，获得1点能量。</x:v>
      </x:c>
      <x:c r="J39" s="573" t="str">
        <x:v>费用降为1；手牌中每有1张攻击牌，获得1点能量。</x:v>
      </x:c>
      <x:c r="K39" s="573" t="str">
        <x:v>能量；手牌统计</x:v>
      </x:c>
      <x:c r="L39" s="573" t="str">
        <x:v>卡池=战士普通卡；类型=技能；稀有度=罕见；费用=2→1；目标=自身；基础效果=手牌中每有1张攻击牌，获得1点能量。；升级效果=费用降为1；手牌中每有1张攻击牌，获得1点能量。；关键词=能量；手牌统计</x:v>
      </x:c>
      <x:c r="M39" s="572" t="n">
        <x:v>0</x:v>
      </x:c>
      <x:c r="N39" s="573" t="str">
        <x:v>0（未发现开服后官方稀有度变更记录）</x:v>
      </x:c>
      <x:c r="O39" s="1597" t="str">
        <x:v>千鸟刀·连击准备</x:v>
      </x:c>
      <x:c r="P39" s="1602" t="str">
        <x:v>草薙剑·千鸟刀</x:v>
      </x:c>
      <x:c r="Q39" s="1603" t="str">
        <x:v>原著识别型项目命名（基于“草薙剑·千鸟刀”）</x:v>
      </x:c>
      <x:c r="R39" s="1604" t="str">
        <x:v>核心目录</x:v>
      </x:c>
      <x:c r="S39" s="1134" t="str">
        <x:v>T2 进阶</x:v>
      </x:c>
      <x:c r="T39" s="784" t="str">
        <x:v>白衣/Hebi与兄弟之战实际使用的雷遁附剑体系。</x:v>
      </x:c>
      <x:c r="U39" s="1610" t="str">
        <x:v>无</x:v>
      </x:c>
      <x:c r="V39" s="1611" t="str">
        <x:v>本牌不得开启、延长或强化敌人/场景的写轮眼解析。阶段4角色自身红眼常驻属于形态表现，不代表本牌触发易伤解析。</x:v>
      </x:c>
      <x:c r="W39" s="1003" t="str">
        <x:v>合理性：手牌中的攻击越多获得能量越多，适合把多种攻击路线预先灌入草薙剑·千鸟刀，降低连续出招的查克拉间隔。联动：为 Whirlwind、Cascade、Stampede、Bludgeon 和多张攻击连打供能。</x:v>
      </x:c>
      <x:c r="X39" s="1003" t="str">
        <x:v>强度定位：T2 进阶。稀有度=罕见，费用=2→1，效果核心为“手牌中每有1张攻击牌，获得1点能量。”。中等数值或机制启动牌；使用进阶剑术、火遁、雷遁、忍具或咒印一阶段等表达，但避免最高奥义措辞。 因此采用“千鸟刀·连击准备”，避免名称强度高于或低于卡牌实际表现。</x:v>
      </x:c>
      <x:c r="Y39" s="1002" t="str">
        <x:v>Sword of Kusanagi: Chidori Katana / 草薙の剣・千鳥刀</x:v>
      </x:c>
      <x:c r="Z39" s="1004" t="str">
        <x:v>原作漫画、动画、资料书</x:v>
      </x:c>
      <x:c r="AA39" s="587" t="str">
        <x:v>面板名“千鸟刀·连击准备”保留“草薙剑·千鸟刀”的核心识别词或完整正式名。新增后缀仅用于反映卡牌机制与区分动作，不冒充新的官方招式。</x:v>
      </x:c>
      <x:c r="AB39" s="587" t="str">
        <x:v>https://naruto.fandom.com/wiki/Chidori_Current</x:v>
      </x:c>
      <x:c r="AC39" s="572" t="str">
        <x:v>否</x:v>
      </x:c>
      <x:c r="AD39" s="573" t="str">
        <x:v>—</x:v>
      </x:c>
      <x:c r="AE39" s="587" t="str">
        <x:v>研究用候选ID；待最新 public-beta 本地审计</x:v>
      </x:c>
      <x:c r="AF39" s="573" t="str">
        <x:v>https://slaythespire.wiki.gg/wiki/Module%3ACards/StS2_data/Ironclad</x:v>
      </x:c>
      <x:c r="AG39" s="1563"/>
      <x:c r="AH39" s="573" t="str">
        <x:v>https://slaythespire.wiki.gg/wiki/Module%3ACards/StS2_data/Ironclad</x:v>
      </x:c>
      <x:c r="AI39" s="1292"/>
    </x:row>
    <x:row r="40" ht="106" customHeight="1">
      <x:c r="A40" s="1562" t="n">
        <x:v>36</x:v>
      </x:c>
      <x:c r="B40" s="572" t="str">
        <x:v>战士普通卡</x:v>
      </x:c>
      <x:c r="C40" s="573" t="str">
        <x:v>无痛</x:v>
      </x:c>
      <x:c r="D40" s="572" t="str">
        <x:v>FeelNoPain</x:v>
      </x:c>
      <x:c r="E40" s="573" t="str">
        <x:v>Feel No Pain</x:v>
      </x:c>
      <x:c r="F40" s="572" t="str">
        <x:v>罕见</x:v>
      </x:c>
      <x:c r="G40" s="572" t="str">
        <x:v>1</x:v>
      </x:c>
      <x:c r="H40" s="572" t="str">
        <x:v>能力</x:v>
      </x:c>
      <x:c r="I40" s="573" t="str">
        <x:v>每当一张牌被消耗，获得3点格挡。</x:v>
      </x:c>
      <x:c r="J40" s="573" t="str">
        <x:v>每当一张牌被消耗，获得4点格挡。</x:v>
      </x:c>
      <x:c r="K40" s="573" t="str">
        <x:v>能力；消耗触发；格挡</x:v>
      </x:c>
      <x:c r="L40" s="573" t="str">
        <x:v>卡池=战士普通卡；类型=能力；稀有度=罕见；费用=1；目标=自身；基础效果=每当一张牌被消耗，获得3点格挡。；升级效果=每当一张牌被消耗，获得4点格挡。；关键词=能力；消耗触发；格挡</x:v>
      </x:c>
      <x:c r="M40" s="572" t="n">
        <x:v>0</x:v>
      </x:c>
      <x:c r="N40" s="573" t="str">
        <x:v>0（未发现开服后官方稀有度变更记录）</x:v>
      </x:c>
      <x:c r="O40" s="1597" t="str">
        <x:v>咒印·痛觉遮断</x:v>
      </x:c>
      <x:c r="P40" s="1602" t="str">
        <x:v>天之咒印</x:v>
      </x:c>
      <x:c r="Q40" s="1603" t="str">
        <x:v>原著识别型项目命名（基于“天之咒印”）</x:v>
      </x:c>
      <x:c r="R40" s="1604" t="str">
        <x:v>核心目录</x:v>
      </x:c>
      <x:c r="S40" s="1134" t="str">
        <x:v>T2 进阶</x:v>
      </x:c>
      <x:c r="T40" s="784" t="str">
        <x:v>白衣/Hebi对大蛇丸、迪达拉及鼬的战斗中实际激活。</x:v>
      </x:c>
      <x:c r="U40" s="1610" t="str">
        <x:v>无</x:v>
      </x:c>
      <x:c r="V40" s="1611" t="str">
        <x:v>本牌不得开启、延长或强化敌人/场景的写轮眼解析。阶段4角色自身红眼常驻属于形态表现，不代表本牌触发易伤解析。</x:v>
      </x:c>
      <x:c r="W40" s="1003" t="str">
        <x:v>合理性：每次消耗卡牌获得格挡，咒印遮断痛觉并把献祭产生的冲击吸收为防护。联动：覆盖 Burning Pact、True Grit、Second Wind、Fiend Fire、Stoke 等所有消耗牌，并与 Juggernaut、Body Slam、Barricade 继续转换收益。</x:v>
      </x:c>
      <x:c r="X40" s="1003" t="str">
        <x:v>强度定位：T2 进阶。稀有度=罕见，费用=1，效果核心为“每当一张牌被消耗，获得3点格挡。”。中等数值或机制启动牌；使用进阶剑术、火遁、雷遁、忍具或咒印一阶段等表达，但避免最高奥义措辞。 因此采用“咒印·痛觉遮断”，避免名称强度高于或低于卡牌实际表现。</x:v>
      </x:c>
      <x:c r="Y40" s="1002" t="str">
        <x:v>Cursed Seal of Heaven / 天の呪印</x:v>
      </x:c>
      <x:c r="Z40" s="1004" t="str">
        <x:v>原作状态/能力</x:v>
      </x:c>
      <x:c r="AA40" s="587" t="str">
        <x:v>面板名“咒印·痛觉遮断”保留“天之咒印”的核心识别词或完整正式名。新增后缀仅用于反映卡牌机制与区分动作，不冒充新的官方招式。</x:v>
      </x:c>
      <x:c r="AB40" s="587" t="str">
        <x:v>https://naruto.fandom.com/wiki/Cursed_Seal_of_Heaven</x:v>
      </x:c>
      <x:c r="AC40" s="572" t="str">
        <x:v>否</x:v>
      </x:c>
      <x:c r="AD40" s="573" t="str">
        <x:v>—</x:v>
      </x:c>
      <x:c r="AE40" s="587" t="str">
        <x:v>研究用候选ID；待最新 public-beta 本地审计</x:v>
      </x:c>
      <x:c r="AF40" s="573" t="str">
        <x:v>https://slaythespire.wiki.gg/wiki/Module%3ACards/StS2_data/Ironclad</x:v>
      </x:c>
      <x:c r="AG40" s="1563"/>
      <x:c r="AH40" s="573" t="str">
        <x:v>https://slaythespire.wiki.gg/wiki/Module%3ACards/StS2_data/Ironclad</x:v>
      </x:c>
      <x:c r="AI40" s="1292"/>
    </x:row>
    <x:row r="41" ht="106" customHeight="1">
      <x:c r="A41" s="1562" t="n">
        <x:v>37</x:v>
      </x:c>
      <x:c r="B41" s="572" t="str">
        <x:v>战士普通卡</x:v>
      </x:c>
      <x:c r="C41" s="573" t="str">
        <x:v>来战！</x:v>
      </x:c>
      <x:c r="D41" s="572" t="str">
        <x:v>FightMe</x:v>
      </x:c>
      <x:c r="E41" s="573" t="str">
        <x:v>Fight Me!</x:v>
      </x:c>
      <x:c r="F41" s="572" t="str">
        <x:v>罕见</x:v>
      </x:c>
      <x:c r="G41" s="572" t="str">
        <x:v>2</x:v>
      </x:c>
      <x:c r="H41" s="572" t="str">
        <x:v>攻击</x:v>
      </x:c>
      <x:c r="I41" s="573" t="str">
        <x:v>造成5点伤害2次；获得3点力量；敌人获得1点力量。</x:v>
      </x:c>
      <x:c r="J41" s="573" t="str">
        <x:v>造成6点伤害2次；获得4点力量；敌人获得1点力量。</x:v>
      </x:c>
      <x:c r="K41" s="573" t="str">
        <x:v>双段；力量；敌人增益</x:v>
      </x:c>
      <x:c r="L41" s="573" t="str">
        <x:v>卡池=战士普通卡；类型=攻击；稀有度=罕见；费用=2；目标=单体敌人/自身；基础效果=造成5点伤害2次；获得3点力量；敌人获得1点力量。；升级效果=造成6点伤害2次；获得4点力量；敌人获得1点力量。；关键词=双段；力量；敌人增益</x:v>
      </x:c>
      <x:c r="M41" s="572" t="n">
        <x:v>0</x:v>
      </x:c>
      <x:c r="N41" s="573" t="str">
        <x:v>0（未发现开服后官方稀有度变更记录）</x:v>
      </x:c>
      <x:c r="O41" s="1597" t="str">
        <x:v>雷光狮子连弹·邀战</x:v>
      </x:c>
      <x:c r="P41" s="1602" t="str">
        <x:v>雷光狮子连弹</x:v>
      </x:c>
      <x:c r="Q41" s="1603" t="str">
        <x:v>原著识别型项目命名（基于“雷光狮子连弹”）</x:v>
      </x:c>
      <x:c r="R41" s="1604" t="str">
        <x:v>核心目录</x:v>
      </x:c>
      <x:c r="S41" s="1134" t="str">
        <x:v>T2 进阶</x:v>
      </x:c>
      <x:c r="T41" s="784" t="str">
        <x:v>《究极风暴》白衣/Hebi佐助的雷遁体术连段。</x:v>
      </x:c>
      <x:c r="U41" s="1610" t="str">
        <x:v>无</x:v>
      </x:c>
      <x:c r="V41" s="1611" t="str">
        <x:v>本牌不得开启、延长或强化敌人/场景的写轮眼解析。阶段4角色自身红眼常驻属于形态表现，不代表本牌触发易伤解析。</x:v>
      </x:c>
      <x:c r="W41" s="1003" t="str">
        <x:v>合理性：双方同时获得力量，适合佐助以雷光体术主动逼近、迫使敌人进入正面对攻。联动：自身力量强化 Twin Strike、Sword Boomerang、Whirlwind；敌方力量提高则需要 Weak、Colossus、Tank 或高格挡应对。</x:v>
      </x:c>
      <x:c r="X41" s="1003" t="str">
        <x:v>强度定位：T2 进阶。稀有度=罕见，费用=2，效果核心为“造成5点伤害2次；获得3点力量；敌人获得1点力量。”。中等数值或机制启动牌；使用进阶剑术、火遁、雷遁、忍具或咒印一阶段等表达，但避免最高奥义措辞。 因此采用“雷光狮子连弹·邀战”，避免名称强度高于或低于卡牌实际表现。</x:v>
      </x:c>
      <x:c r="Y41" s="1002" t="str">
        <x:v>Lightning Lions Barrage / 雷光獅子連弾</x:v>
      </x:c>
      <x:c r="Z41" s="1004" t="str">
        <x:v>究极风暴正式招式</x:v>
      </x:c>
      <x:c r="AA41" s="587" t="str">
        <x:v>面板名“雷光狮子连弹·邀战”保留“雷光狮子连弹”的核心识别词或完整正式名。新增后缀仅用于反映卡牌机制与区分动作，不冒充新的官方招式。</x:v>
      </x:c>
      <x:c r="AB41" s="587" t="str">
        <x:v>https://naruto-ultimate-ninja-storm.fandom.com/wiki/Sasuke_Uchiha/Move_List</x:v>
      </x:c>
      <x:c r="AC41" s="572" t="str">
        <x:v>否</x:v>
      </x:c>
      <x:c r="AD41" s="573" t="str">
        <x:v>—</x:v>
      </x:c>
      <x:c r="AE41" s="587" t="str">
        <x:v>研究用候选ID；待最新 public-beta 本地审计</x:v>
      </x:c>
      <x:c r="AF41" s="573" t="str">
        <x:v>https://slaythespire.wiki.gg/wiki/Module%3ACards/StS2_data/Ironclad</x:v>
      </x:c>
      <x:c r="AG41" s="1563"/>
      <x:c r="AH41" s="573" t="str">
        <x:v>https://slaythespire.wiki.gg/wiki/Module%3ACards/StS2_data/Ironclad</x:v>
      </x:c>
      <x:c r="AI41" s="1292"/>
    </x:row>
    <x:row r="42" ht="106" customHeight="1">
      <x:c r="A42" s="1562" t="n">
        <x:v>38</x:v>
      </x:c>
      <x:c r="B42" s="572" t="str">
        <x:v>战士普通卡</x:v>
      </x:c>
      <x:c r="C42" s="573" t="str">
        <x:v>火焰屏障</x:v>
      </x:c>
      <x:c r="D42" s="572" t="str">
        <x:v>FlameBarrier</x:v>
      </x:c>
      <x:c r="E42" s="573" t="str">
        <x:v>Flame Barrier</x:v>
      </x:c>
      <x:c r="F42" s="572" t="str">
        <x:v>罕见</x:v>
      </x:c>
      <x:c r="G42" s="572" t="str">
        <x:v>2</x:v>
      </x:c>
      <x:c r="H42" s="572" t="str">
        <x:v>技能</x:v>
      </x:c>
      <x:c r="I42" s="573" t="str">
        <x:v>获得12点格挡；本回合每次被攻击时，对攻击者造成4点伤害。</x:v>
      </x:c>
      <x:c r="J42" s="573" t="str">
        <x:v>获得16点格挡；反击伤害提升为6点。</x:v>
      </x:c>
      <x:c r="K42" s="573" t="str">
        <x:v>格挡；反击</x:v>
      </x:c>
      <x:c r="L42" s="573" t="str">
        <x:v>卡池=战士普通卡；类型=技能；稀有度=罕见；费用=2；目标=自身；基础效果=获得12点格挡；本回合每次被攻击时，对攻击者造成4点伤害。；升级效果=获得16点格挡；反击伤害提升为6点。；关键词=格挡；反击</x:v>
      </x:c>
      <x:c r="M42" s="572" t="n">
        <x:v>0</x:v>
      </x:c>
      <x:c r="N42" s="573" t="str">
        <x:v>0（未发现开服后官方稀有度变更记录）</x:v>
      </x:c>
      <x:c r="O42" s="1597" t="str">
        <x:v>火遁·豪火球·返炎</x:v>
      </x:c>
      <x:c r="P42" s="1602" t="str">
        <x:v>火遁·豪火球之术</x:v>
      </x:c>
      <x:c r="Q42" s="1603" t="str">
        <x:v>原著识别型项目命名（基于“火遁·豪火球之术”）</x:v>
      </x:c>
      <x:c r="R42" s="1604" t="str">
        <x:v>核心目录</x:v>
      </x:c>
      <x:c r="S42" s="1134" t="str">
        <x:v>T2 进阶</x:v>
      </x:c>
      <x:c r="T42" s="784" t="str">
        <x:v>白衣/Hebi及咒印二《究极风暴》动作；兄弟之战继续使用火遁。</x:v>
      </x:c>
      <x:c r="U42" s="1610" t="str">
        <x:v>无</x:v>
      </x:c>
      <x:c r="V42" s="1611" t="str">
        <x:v>本牌不得开启、延长或强化敌人/场景的写轮眼解析。阶段4角色自身红眼常驻属于形态表现，不代表本牌触发易伤解析。</x:v>
      </x:c>
      <x:c r="W42" s="1003" t="str">
        <x:v>合理性：获得格挡并对攻击者反伤，对应火遁半环火遁·豪火球·返炎，敌人触碰时火焰反卷，不需要改变原有反击次数。联动：可被 Barricade 保留价值、触发 Juggernaut，并为 Body Slam 和 Demonic Shield 提供高额格挡。</x:v>
      </x:c>
      <x:c r="X42" s="1003" t="str">
        <x:v>强度定位：T2 进阶。稀有度=罕见，费用=2，效果核心为“获得12点格挡；本回合每次被攻击时，对攻击者造成4点伤害。”。中等数值或机制启动牌；使用进阶剑术、火遁、雷遁、忍具或咒印一阶段等表达，但避免最高奥义措辞。 因此采用“火遁·豪火球·返炎”，避免名称强度高于或低于卡牌实际表现。</x:v>
      </x:c>
      <x:c r="Y42" s="1002" t="str">
        <x:v>Fire Release: Great Fireball Technique / 火遁・豪火球の術</x:v>
      </x:c>
      <x:c r="Z42" s="1004" t="str">
        <x:v>原作、动画、究极风暴</x:v>
      </x:c>
      <x:c r="AA42" s="587" t="str">
        <x:v>面板名“火遁·豪火球·返炎”保留“火遁·豪火球之术”的核心识别词或完整正式名。新增后缀仅用于反映卡牌机制与区分动作，不冒充新的官方招式。</x:v>
      </x:c>
      <x:c r="AB42" s="587" t="str">
        <x:v>https://naruto-ultimate-ninja-storm.fandom.com/wiki/Sasuke_Uchiha/Move_List</x:v>
      </x:c>
      <x:c r="AC42" s="572" t="str">
        <x:v>否</x:v>
      </x:c>
      <x:c r="AD42" s="573" t="str">
        <x:v>—</x:v>
      </x:c>
      <x:c r="AE42" s="587" t="str">
        <x:v>研究用候选ID；待最新 public-beta 本地审计</x:v>
      </x:c>
      <x:c r="AF42" s="573" t="str">
        <x:v>https://slaythespire.wiki.gg/wiki/Module%3ACards/StS2_data/Ironclad</x:v>
      </x:c>
      <x:c r="AG42" s="1563"/>
      <x:c r="AH42" s="573" t="str">
        <x:v>https://slaythespire.wiki.gg/wiki/Module%3ACards/StS2_data/Ironclad</x:v>
      </x:c>
      <x:c r="AI42" s="1292"/>
    </x:row>
    <x:row r="43" ht="106" customHeight="1">
      <x:c r="A43" s="1562" t="n">
        <x:v>39</x:v>
      </x:c>
      <x:c r="B43" s="572" t="str">
        <x:v>战士普通卡</x:v>
      </x:c>
      <x:c r="C43" s="573" t="str">
        <x:v>遗忘仪式</x:v>
      </x:c>
      <x:c r="D43" s="572" t="str">
        <x:v>ForgottenRitual</x:v>
      </x:c>
      <x:c r="E43" s="573" t="str">
        <x:v>Forgotten Ritual</x:v>
      </x:c>
      <x:c r="F43" s="572" t="str">
        <x:v>罕见</x:v>
      </x:c>
      <x:c r="G43" s="572" t="str">
        <x:v>1</x:v>
      </x:c>
      <x:c r="H43" s="572" t="str">
        <x:v>技能</x:v>
      </x:c>
      <x:c r="I43" s="573" t="str">
        <x:v>若本回合已消耗过牌，获得3点能量；消耗。</x:v>
      </x:c>
      <x:c r="J43" s="573" t="str">
        <x:v>若本回合已消耗过牌，获得4点能量；消耗。</x:v>
      </x:c>
      <x:c r="K43" s="573" t="str">
        <x:v>消耗条件；能量；消耗</x:v>
      </x:c>
      <x:c r="L43" s="573" t="str">
        <x:v>卡池=战士普通卡；类型=技能；稀有度=罕见；费用=1；目标=自身；基础效果=若本回合已消耗过牌，获得3点能量；消耗。；升级效果=若本回合已消耗过牌，获得4点能量；消耗。；关键词=消耗条件；能量；消耗</x:v>
      </x:c>
      <x:c r="M43" s="572" t="n">
        <x:v>0</x:v>
      </x:c>
      <x:c r="N43" s="573" t="str">
        <x:v>0（未发现开服后官方稀有度变更记录）</x:v>
      </x:c>
      <x:c r="O43" s="1597" t="str">
        <x:v>咒印·解封仪式</x:v>
      </x:c>
      <x:c r="P43" s="1602" t="str">
        <x:v>天之咒印</x:v>
      </x:c>
      <x:c r="Q43" s="1603" t="str">
        <x:v>原著识别型项目命名（基于“天之咒印”）</x:v>
      </x:c>
      <x:c r="R43" s="1604" t="str">
        <x:v>核心目录</x:v>
      </x:c>
      <x:c r="S43" s="1134" t="str">
        <x:v>T3 高阶</x:v>
      </x:c>
      <x:c r="T43" s="784" t="str">
        <x:v>白衣/Hebi对大蛇丸、迪达拉及鼬的战斗中实际激活。</x:v>
      </x:c>
      <x:c r="U43" s="1610" t="str">
        <x:v>无</x:v>
      </x:c>
      <x:c r="V43" s="1611" t="str">
        <x:v>本牌不得开启、延长或强化敌人/场景的写轮眼解析。阶段4角色自身红眼常驻属于形态表现，不代表本牌触发易伤解析。</x:v>
      </x:c>
      <x:c r="W43" s="1003" t="str">
        <x:v>合理性：只有本回合已经消耗过牌才获得大量能量，说明前一张献祭完成了禁忌术式的准备步骤。联动：接在 Burning Pact、True Grit、Cinder、Second Wind、Stoke 后，为 Demon Form、Whirlwind、Fiend Fire 等高费用爆发供能。</x:v>
      </x:c>
      <x:c r="X43" s="1003" t="str">
        <x:v>强度定位：T3 高阶。稀有度=罕见，费用=1，效果核心为“若本回合已消耗过牌，获得3点能量；消耗。”。稀有度、数值或联动价值较高；使用高阶草薙剑、千鸟变化、蛇术或强协同名称，但不占用最终变身/终结名。 因此采用“咒印·解封仪式”，避免名称强度高于或低于卡牌实际表现。</x:v>
      </x:c>
      <x:c r="Y43" s="1002" t="str">
        <x:v>Cursed Seal of Heaven / 天の呪印</x:v>
      </x:c>
      <x:c r="Z43" s="1004" t="str">
        <x:v>原作状态/能力</x:v>
      </x:c>
      <x:c r="AA43" s="587" t="str">
        <x:v>面板名“咒印·解封仪式”保留“天之咒印”的核心识别词或完整正式名。新增后缀仅用于反映卡牌机制与区分动作，不冒充新的官方招式。</x:v>
      </x:c>
      <x:c r="AB43" s="587" t="str">
        <x:v>https://naruto.fandom.com/wiki/Cursed_Seal_of_Heaven</x:v>
      </x:c>
      <x:c r="AC43" s="572" t="str">
        <x:v>否</x:v>
      </x:c>
      <x:c r="AD43" s="573" t="str">
        <x:v>—</x:v>
      </x:c>
      <x:c r="AE43" s="587" t="str">
        <x:v>研究用候选ID；待最新 public-beta 本地审计</x:v>
      </x:c>
      <x:c r="AF43" s="573" t="str">
        <x:v>https://slaythespire.wiki.gg/wiki/Module%3ACards/StS2_data/Ironclad</x:v>
      </x:c>
      <x:c r="AG43" s="1563"/>
      <x:c r="AH43" s="573" t="str">
        <x:v>https://slaythespire.wiki.gg/wiki/Module%3ACards/StS2_data/Ironclad</x:v>
      </x:c>
      <x:c r="AI43" s="1292"/>
    </x:row>
    <x:row r="44" ht="106" customHeight="1">
      <x:c r="A44" s="1562" t="n">
        <x:v>40</x:v>
      </x:c>
      <x:c r="B44" s="572" t="str">
        <x:v>战士普通卡</x:v>
      </x:c>
      <x:c r="C44" s="573" t="str">
        <x:v>御血术</x:v>
      </x:c>
      <x:c r="D44" s="572" t="str">
        <x:v>Hemokinesis</x:v>
      </x:c>
      <x:c r="E44" s="573" t="str">
        <x:v>Hemokinesis</x:v>
      </x:c>
      <x:c r="F44" s="572" t="str">
        <x:v>罕见</x:v>
      </x:c>
      <x:c r="G44" s="572" t="str">
        <x:v>1</x:v>
      </x:c>
      <x:c r="H44" s="572" t="str">
        <x:v>攻击</x:v>
      </x:c>
      <x:c r="I44" s="573" t="str">
        <x:v>失去2点生命；造成15点伤害。</x:v>
      </x:c>
      <x:c r="J44" s="573" t="str">
        <x:v>失去2点生命；造成20点伤害。</x:v>
      </x:c>
      <x:c r="K44" s="573" t="str">
        <x:v>自损；高伤害；战损阈值</x:v>
      </x:c>
      <x:c r="L44" s="573" t="str">
        <x:v>卡池=战士普通卡；类型=攻击；稀有度=罕见；费用=1；目标=单体敌人；基础效果=失去2点生命；造成15点伤害。；升级效果=失去2点生命；造成20点伤害。；关键词=自损；高伤害；战损阈值</x:v>
      </x:c>
      <x:c r="M44" s="572" t="n">
        <x:v>0</x:v>
      </x:c>
      <x:c r="N44" s="573" t="str">
        <x:v>0（未发现开服后官方稀有度变更记录）</x:v>
      </x:c>
      <x:c r="O44" s="1597" t="str">
        <x:v>千鸟·血祭</x:v>
      </x:c>
      <x:c r="P44" s="1602" t="str">
        <x:v>千鸟</x:v>
      </x:c>
      <x:c r="Q44" s="1603" t="str">
        <x:v>原著识别型项目命名（基于“千鸟”）</x:v>
      </x:c>
      <x:c r="R44" s="1604" t="str">
        <x:v>核心目录</x:v>
      </x:c>
      <x:c r="S44" s="1134" t="str">
        <x:v>T3 高阶</x:v>
      </x:c>
      <x:c r="T44" s="784" t="str">
        <x:v>白衣/Hebi、兄弟之战与咒印二均有实际使用或明确动作。</x:v>
      </x:c>
      <x:c r="U44" s="1610" t="str">
        <x:v>无</x:v>
      </x:c>
      <x:c r="V44" s="1611" t="str">
        <x:v>本牌不得开启、延长或强化敌人/场景的写轮眼解析。阶段4角色自身红眼常驻属于形态表现，不代表本牌触发易伤解析。</x:v>
      </x:c>
      <x:c r="W44" s="1003" t="str">
        <x:v>合理性：失去少量生命换取高伤害，适合让血液与咒印查克拉成为雷遁导体，形成短促而危险的血雷突击。联动：触发 Rupture、Spite、Inferno 和 Tear Asunder，并可能将人物推进3B/4B战损外观。</x:v>
      </x:c>
      <x:c r="X44" s="1003" t="str">
        <x:v>强度定位：T3 高阶。稀有度=罕见，费用=1，效果核心为“失去2点生命；造成15点伤害。”。稀有度、数值或联动价值较高；使用高阶草薙剑、千鸟·血祭变化、蛇术或强协同名称，但不占用最终变身/终结名。 因此采用“千鸟·血祭”，避免名称强度高于或低于卡牌实际表现。</x:v>
      </x:c>
      <x:c r="Y44" s="1002" t="str">
        <x:v>Chidori / 千鳥</x:v>
      </x:c>
      <x:c r="Z44" s="1004" t="str">
        <x:v>原作漫画、动画、究极风暴、火影忍者手游</x:v>
      </x:c>
      <x:c r="AA44" s="587" t="str">
        <x:v>面板名“千鸟·血祭”保留“千鸟”的核心识别词或完整正式名。新增后缀仅用于反映卡牌机制与区分动作，不冒充新的官方招式。</x:v>
      </x:c>
      <x:c r="AB44" s="587" t="str">
        <x:v>https://naruto.fandom.com/wiki/Chidori</x:v>
      </x:c>
      <x:c r="AC44" s="572" t="str">
        <x:v>否</x:v>
      </x:c>
      <x:c r="AD44" s="573" t="str">
        <x:v>—</x:v>
      </x:c>
      <x:c r="AE44" s="587" t="str">
        <x:v>研究用候选ID；待最新 public-beta 本地审计</x:v>
      </x:c>
      <x:c r="AF44" s="573" t="str">
        <x:v>https://slaythespire.wiki.gg/wiki/Module%3ACards/StS2_data/Ironclad</x:v>
      </x:c>
      <x:c r="AG44" s="1563"/>
      <x:c r="AH44" s="573" t="str">
        <x:v>https://slaythespire.wiki.gg/wiki/Module%3ACards/StS2_data/Ironclad</x:v>
      </x:c>
      <x:c r="AI44" s="1292"/>
    </x:row>
    <x:row r="45" ht="106" customHeight="1">
      <x:c r="A45" s="1562" t="n">
        <x:v>41</x:v>
      </x:c>
      <x:c r="B45" s="572" t="str">
        <x:v>战士普通卡</x:v>
      </x:c>
      <x:c r="C45" s="573" t="str">
        <x:v>彼岸嚎叫</x:v>
      </x:c>
      <x:c r="D45" s="572" t="str">
        <x:v>HowlFromBeyond</x:v>
      </x:c>
      <x:c r="E45" s="573" t="str">
        <x:v>Howl from Beyond</x:v>
      </x:c>
      <x:c r="F45" s="572" t="str">
        <x:v>罕见</x:v>
      </x:c>
      <x:c r="G45" s="572" t="str">
        <x:v>3</x:v>
      </x:c>
      <x:c r="H45" s="572" t="str">
        <x:v>攻击</x:v>
      </x:c>
      <x:c r="I45" s="573" t="str">
        <x:v>对所有敌人造成18点伤害；若回合结束时位于消耗堆，则将其打出。</x:v>
      </x:c>
      <x:c r="J45" s="573" t="str">
        <x:v>对所有敌人造成24点伤害；若回合结束时位于消耗堆，则将其打出。</x:v>
      </x:c>
      <x:c r="K45" s="573" t="str">
        <x:v>群体伤害；消耗堆自动打出</x:v>
      </x:c>
      <x:c r="L45" s="573" t="str">
        <x:v>卡池=战士普通卡；类型=攻击；稀有度=罕见；费用=3；目标=所有敌人；基础效果=对所有敌人造成18点伤害；若回合结束时位于消耗堆，则将其打出。；升级效果=对所有敌人造成24点伤害；若回合结束时位于消耗堆，则将其打出。；关键词=群体伤害；消耗堆自动打出</x:v>
      </x:c>
      <x:c r="M45" s="572" t="n">
        <x:v>0</x:v>
      </x:c>
      <x:c r="N45" s="573" t="str">
        <x:v>0（未发现开服后官方稀有度变更记录）</x:v>
      </x:c>
      <x:c r="O45" s="1597" t="str">
        <x:v>潜影蛇手·蛇群再袭</x:v>
      </x:c>
      <x:c r="P45" s="1602" t="str">
        <x:v>潜影蛇手</x:v>
      </x:c>
      <x:c r="Q45" s="1603" t="str">
        <x:v>原著识别型项目命名（基于“潜影蛇手”）</x:v>
      </x:c>
      <x:c r="R45" s="1604" t="str">
        <x:v>核心目录</x:v>
      </x:c>
      <x:c r="S45" s="1134" t="str">
        <x:v>T2 进阶</x:v>
      </x:c>
      <x:c r="T45" s="784" t="str">
        <x:v>白衣/Hebi吸收大蛇丸后的实际蛇术。</x:v>
      </x:c>
      <x:c r="U45" s="1610" t="str">
        <x:v>无</x:v>
      </x:c>
      <x:c r="V45" s="1611" t="str">
        <x:v>本牌不得开启、延长或强化敌人/场景的写轮眼解析。阶段4角色自身红眼常驻属于形态表现，不代表本牌触发易伤解析。</x:v>
      </x:c>
      <x:c r="W45" s="1003" t="str">
        <x:v>合理性：群体攻击且在消耗堆中会自行再度打出，适合蛇群或大蛇咆哮从“被献祭的领域”重新返回战场。联动：与 Burning Pact、True Grit、Second Wind 主动送入消耗堆，随后强化 Ashen Strike、Pact's End 和 Midnight。</x:v>
      </x:c>
      <x:c r="X45" s="1003" t="str">
        <x:v>强度定位：T2 进阶。稀有度=罕见，费用=3，效果核心为“对所有敌人造成18点伤害；若回合结束时位于消耗堆，则将其打出。”。中等数值或机制启动牌；使用进阶剑术、火遁、雷遁、忍具或咒印一阶段等表达，但避免最高奥义措辞。 因此采用“潜影蛇手·蛇群再袭”，避免名称强度高于或低于卡牌实际表现。</x:v>
      </x:c>
      <x:c r="Y45" s="1002" t="str">
        <x:v>Hidden Shadow Snake Hands / 潜影蛇手</x:v>
      </x:c>
      <x:c r="Z45" s="1004" t="str">
        <x:v>原作漫画、动画、游戏</x:v>
      </x:c>
      <x:c r="AA45" s="587" t="str">
        <x:v>面板名“潜影蛇手·蛇群再袭”保留“潜影蛇手”的核心识别词或完整正式名。新增后缀仅用于反映卡牌机制与区分动作，不冒充新的官方招式。</x:v>
      </x:c>
      <x:c r="AB45" s="587" t="str">
        <x:v>https://naruto.fandom.com/wiki/Hidden_Shadow_Snake_Hands</x:v>
      </x:c>
      <x:c r="AC45" s="572" t="str">
        <x:v>否</x:v>
      </x:c>
      <x:c r="AD45" s="573" t="str">
        <x:v>—</x:v>
      </x:c>
      <x:c r="AE45" s="587" t="str">
        <x:v>研究用候选ID；待最新 public-beta 本地审计</x:v>
      </x:c>
      <x:c r="AF45" s="573" t="str">
        <x:v>https://slaythespire.wiki.gg/wiki/Module%3ACards/StS2_data/Ironclad</x:v>
      </x:c>
      <x:c r="AG45" s="1563"/>
      <x:c r="AH45" s="573" t="str">
        <x:v>https://slaythespire.wiki.gg/wiki/Module%3ACards/StS2_data/Ironclad</x:v>
      </x:c>
      <x:c r="AI45" s="1292"/>
    </x:row>
    <x:row r="46" ht="106" customHeight="1">
      <x:c r="A46" s="1562" t="n">
        <x:v>42</x:v>
      </x:c>
      <x:c r="B46" s="572" t="str">
        <x:v>战士普通卡</x:v>
      </x:c>
      <x:c r="C46" s="573" t="str">
        <x:v>地狱之刃</x:v>
      </x:c>
      <x:c r="D46" s="572" t="str">
        <x:v>InfernalBlade</x:v>
      </x:c>
      <x:c r="E46" s="573" t="str">
        <x:v>Infernal Blade</x:v>
      </x:c>
      <x:c r="F46" s="572" t="str">
        <x:v>罕见</x:v>
      </x:c>
      <x:c r="G46" s="572" t="str">
        <x:v>1→0</x:v>
      </x:c>
      <x:c r="H46" s="572" t="str">
        <x:v>技能</x:v>
      </x:c>
      <x:c r="I46" s="573" t="str">
        <x:v>将1张随机攻击牌加入手牌，本回合可免费打出；消耗。</x:v>
      </x:c>
      <x:c r="J46" s="573" t="str">
        <x:v>费用降为0；生成的攻击牌本回合免费；消耗。</x:v>
      </x:c>
      <x:c r="K46" s="573" t="str">
        <x:v>生成；免费；消耗</x:v>
      </x:c>
      <x:c r="L46" s="573" t="str">
        <x:v>卡池=战士普通卡；类型=技能；稀有度=罕见；费用=1→0；目标=自身；基础效果=将1张随机攻击牌加入手牌，本回合可免费打出；消耗。；升级效果=费用降为0；生成的攻击牌本回合免费；消耗。；关键词=生成；免费；消耗</x:v>
      </x:c>
      <x:c r="M46" s="572" t="n">
        <x:v>0</x:v>
      </x:c>
      <x:c r="N46" s="573" t="str">
        <x:v>0（未发现开服后官方稀有度变更记录）</x:v>
      </x:c>
      <x:c r="O46" s="1597" t="str">
        <x:v>通灵·雷光剑化·瞬装</x:v>
      </x:c>
      <x:c r="P46" s="1602" t="str">
        <x:v>通灵·雷光剑化</x:v>
      </x:c>
      <x:c r="Q46" s="1603" t="str">
        <x:v>原著识别型项目命名（基于“通灵·雷光剑化”）</x:v>
      </x:c>
      <x:c r="R46" s="1604" t="str">
        <x:v>核心目录</x:v>
      </x:c>
      <x:c r="S46" s="1134" t="str">
        <x:v>T2 进阶</x:v>
      </x:c>
      <x:c r="T46" s="784" t="str">
        <x:v>兄弟之战中通过手腕封印实际召唤风魔手里剑和忍具。</x:v>
      </x:c>
      <x:c r="U46" s="1610" t="str">
        <x:v>无</x:v>
      </x:c>
      <x:c r="V46" s="1611" t="str">
        <x:v>本牌不得开启、延长或强化敌人/场景的写轮眼解析。阶段4角色自身红眼常驻属于形态表现，不代表本牌触发易伤解析。</x:v>
      </x:c>
      <x:c r="W46" s="1003" t="str">
        <x:v>合理性：生成一张随机且本回合免费的攻击牌，像雷遁临时锻造一把只存在于当前回合的狱炎草薙剑。联动：生成牌可接 Juggling、Rage、One-Two Punch；自身消耗触发 Feel No Pain、Dark Embrace、Forgotten Ritual 和 Midnight。</x:v>
      </x:c>
      <x:c r="X46" s="1003" t="str">
        <x:v>强度定位：T2 进阶。稀有度=罕见，费用=1→0，效果核心为“将1张随机攻击牌加入手牌，本回合可免费打出；消耗。”。中等数值或机制启动牌；使用进阶剑术、火遁、雷遁、忍具或咒印一阶段等表达，但避免最高奥义措辞。 因此采用“通灵·雷光剑化·瞬装”，避免名称强度高于或低于卡牌实际表现。</x:v>
      </x:c>
      <x:c r="Y46" s="1002" t="str">
        <x:v>Summoning: Lightning Flash Blade Creation / 口寄せ・雷光剣化</x:v>
      </x:c>
      <x:c r="Z46" s="1004" t="str">
        <x:v>原作漫画、动画、资料书</x:v>
      </x:c>
      <x:c r="AA46" s="587" t="str">
        <x:v>面板名“通灵·雷光剑化·瞬装”保留“通灵·雷光剑化”的核心识别词或完整正式名。新增后缀仅用于反映卡牌机制与区分动作，不冒充新的官方招式。</x:v>
      </x:c>
      <x:c r="AB46" s="587" t="str">
        <x:v>https://naruto.fandom.com/wiki/Summoning%3A_Lightning_Flash_Blade_Creation</x:v>
      </x:c>
      <x:c r="AC46" s="572" t="str">
        <x:v>否</x:v>
      </x:c>
      <x:c r="AD46" s="573" t="str">
        <x:v>—</x:v>
      </x:c>
      <x:c r="AE46" s="587" t="str">
        <x:v>研究用候选ID；待最新 public-beta 本地审计</x:v>
      </x:c>
      <x:c r="AF46" s="573" t="str">
        <x:v>https://slaythespire.wiki.gg/wiki/Module%3ACards/StS2_data/Ironclad</x:v>
      </x:c>
      <x:c r="AG46" s="1563"/>
      <x:c r="AH46" s="573" t="str">
        <x:v>https://slaythespire.wiki.gg/wiki/Module%3ACards/StS2_data/Ironclad</x:v>
      </x:c>
      <x:c r="AI46" s="1292"/>
    </x:row>
    <x:row r="47" ht="106" customHeight="1">
      <x:c r="A47" s="1562" t="n">
        <x:v>43</x:v>
      </x:c>
      <x:c r="B47" s="572" t="str">
        <x:v>战士普通卡</x:v>
      </x:c>
      <x:c r="C47" s="573" t="str">
        <x:v>炼狱</x:v>
      </x:c>
      <x:c r="D47" s="572" t="str">
        <x:v>Inferno</x:v>
      </x:c>
      <x:c r="E47" s="573" t="str">
        <x:v>Inferno</x:v>
      </x:c>
      <x:c r="F47" s="572" t="str">
        <x:v>罕见</x:v>
      </x:c>
      <x:c r="G47" s="572" t="str">
        <x:v>1</x:v>
      </x:c>
      <x:c r="H47" s="572" t="str">
        <x:v>能力</x:v>
      </x:c>
      <x:c r="I47" s="573" t="str">
        <x:v>每回合开始失去1点生命；每当本回合失去生命，对所有敌人造成6点伤害。</x:v>
      </x:c>
      <x:c r="J47" s="573" t="str">
        <x:v>群体伤害提升为9点。</x:v>
      </x:c>
      <x:c r="K47" s="573" t="str">
        <x:v>能力；持续自损；群体伤害；战损阈值</x:v>
      </x:c>
      <x:c r="L47" s="573" t="str">
        <x:v>卡池=战士普通卡；类型=能力；稀有度=罕见；费用=1；目标=自身/所有敌人；基础效果=每回合开始失去1点生命；每当本回合失去生命，对所有敌人造成6点伤害。；升级效果=群体伤害提升为9点。；关键词=能力；持续自损；群体伤害；战损阈值</x:v>
      </x:c>
      <x:c r="M47" s="572" t="n">
        <x:v>0</x:v>
      </x:c>
      <x:c r="N47" s="573" t="str">
        <x:v>0（未发现开服后官方稀有度变更记录）</x:v>
      </x:c>
      <x:c r="O47" s="1597" t="str">
        <x:v>火遁·豪龙火之术</x:v>
      </x:c>
      <x:c r="P47" s="1602" t="str">
        <x:v>火遁·豪龙火之术</x:v>
      </x:c>
      <x:c r="Q47" s="1603" t="str">
        <x:v>正式招式名原样采用</x:v>
      </x:c>
      <x:c r="R47" s="1604" t="str">
        <x:v>核心目录</x:v>
      </x:c>
      <x:c r="S47" s="1134" t="str">
        <x:v>T4 决战</x:v>
      </x:c>
      <x:c r="T47" s="784" t="str">
        <x:v>兄弟之战对鼬实际使用，并制造麒麟所需雷云。</x:v>
      </x:c>
      <x:c r="U47" s="1610" t="str">
        <x:v>无</x:v>
      </x:c>
      <x:c r="V47" s="1611" t="str">
        <x:v>本牌不得开启、延长或强化敌人/场景的写轮眼解析。阶段4角色自身红眼常驻属于形态表现，不代表本牌触发易伤解析。</x:v>
      </x:c>
      <x:c r="W47" s="1003" t="str">
        <x:v>合理性：每回合自损，并在本回合每次失去生命时对全体造成伤害，适合持续燃烧、由血液不断补充的火遁炎域。联动：和 Bloodletting、Hemokinesis、Offering、Crimson Mantle 高频触发，并同时驱动 Rupture、Spite 与 Tear Asunder。</x:v>
      </x:c>
      <x:c r="X47" s="1003" t="str">
        <x:v>强度定位：T4 决战。稀有度=罕见，费用=1，效果核心为“每回合开始失去1点生命；每当本回合失去生命，对所有敌人造成6点伤害。”。高费用、高条件、高额数值或回合核心；可使用火遁·豪龙火之术、咒印二防御、禁忌解放等决战级名称。 因此采用“火遁·豪龙火之术”，避免名称强度高于或低于卡牌实际表现。</x:v>
      </x:c>
      <x:c r="Y47" s="1002" t="str">
        <x:v>Fire Release: Great Dragon Fire Technique / 火遁・豪龍火の術</x:v>
      </x:c>
      <x:c r="Z47" s="1004" t="str">
        <x:v>原作漫画、动画、游戏</x:v>
      </x:c>
      <x:c r="AA47" s="587" t="str">
        <x:v>面板名“火遁·豪龙火之术”保留“火遁·豪龙火之术”的核心识别词或完整正式名。新增后缀仅用于反映卡牌机制与区分动作，不冒充新的官方招式。</x:v>
      </x:c>
      <x:c r="AB47" s="587" t="str">
        <x:v>https://naruto.fandom.com/wiki/Sasuke_Uchiha</x:v>
      </x:c>
      <x:c r="AC47" s="572" t="str">
        <x:v>否</x:v>
      </x:c>
      <x:c r="AD47" s="573" t="str">
        <x:v>—</x:v>
      </x:c>
      <x:c r="AE47" s="587" t="str">
        <x:v>研究用候选ID；待最新 public-beta 本地审计</x:v>
      </x:c>
      <x:c r="AF47" s="573" t="str">
        <x:v>https://slaythespire.wiki.gg/wiki/Module%3ACards/StS2_data/Ironclad</x:v>
      </x:c>
      <x:c r="AG47" s="1563"/>
      <x:c r="AH47" s="573" t="str">
        <x:v>https://slaythespire.wiki.gg/wiki/Module%3ACards/StS2_data/Ironclad</x:v>
      </x:c>
      <x:c r="AI47" s="1292"/>
    </x:row>
    <x:row r="48" ht="106" customHeight="1">
      <x:c r="A48" s="1562" t="n">
        <x:v>44</x:v>
      </x:c>
      <x:c r="B48" s="572" t="str">
        <x:v>战士普通卡</x:v>
      </x:c>
      <x:c r="C48" s="573" t="str">
        <x:v>燃烧</x:v>
      </x:c>
      <x:c r="D48" s="572" t="str">
        <x:v>Inflame</x:v>
      </x:c>
      <x:c r="E48" s="573" t="str">
        <x:v>Inflame</x:v>
      </x:c>
      <x:c r="F48" s="572" t="str">
        <x:v>罕见</x:v>
      </x:c>
      <x:c r="G48" s="572" t="str">
        <x:v>1</x:v>
      </x:c>
      <x:c r="H48" s="572" t="str">
        <x:v>能力</x:v>
      </x:c>
      <x:c r="I48" s="573" t="str">
        <x:v>获得2点力量。</x:v>
      </x:c>
      <x:c r="J48" s="573" t="str">
        <x:v>获得3点力量。</x:v>
      </x:c>
      <x:c r="K48" s="573" t="str">
        <x:v>能力；力量</x:v>
      </x:c>
      <x:c r="L48" s="573" t="str">
        <x:v>卡池=战士普通卡；类型=能力；稀有度=罕见；费用=1；目标=自身；基础效果=获得2点力量。；升级效果=获得3点力量。；关键词=能力；力量</x:v>
      </x:c>
      <x:c r="M48" s="572" t="n">
        <x:v>0</x:v>
      </x:c>
      <x:c r="N48" s="573" t="str">
        <x:v>0（未发现开服后官方稀有度变更记录）</x:v>
      </x:c>
      <x:c r="O48" s="1597" t="str">
        <x:v>火遁·火炎增幅</x:v>
      </x:c>
      <x:c r="P48" s="1602" t="str">
        <x:v>火遁·豪火球之术</x:v>
      </x:c>
      <x:c r="Q48" s="1603" t="str">
        <x:v>原著识别型项目命名（基于“火遁·豪火球之术”）</x:v>
      </x:c>
      <x:c r="R48" s="1604" t="str">
        <x:v>核心目录</x:v>
      </x:c>
      <x:c r="S48" s="1134" t="str">
        <x:v>T2 进阶</x:v>
      </x:c>
      <x:c r="T48" s="784" t="str">
        <x:v>白衣/Hebi及咒印二《究极风暴》动作；兄弟之战继续使用火遁。</x:v>
      </x:c>
      <x:c r="U48" s="1610" t="str">
        <x:v>无</x:v>
      </x:c>
      <x:c r="V48" s="1611" t="str">
        <x:v>本牌不得开启、延长或强化敌人/场景的写轮眼解析。阶段4角色自身红眼常驻属于形态表现，不代表本牌触发易伤解析。</x:v>
      </x:c>
      <x:c r="W48" s="1003" t="str">
        <x:v>合理性：单纯增加力量，最适合用火遁点燃战意与查克拉，而不是占用某个具体攻击招式。联动：优先强化多段牌 Sword Boomerang、Twin Strike、Conflagration、Whirlwind，也可放大 Bludgeon 和阶段4攻击。</x:v>
      </x:c>
      <x:c r="X48" s="1003" t="str">
        <x:v>强度定位：T2 进阶。稀有度=罕见，费用=1，效果核心为“获得2点力量。”。中等数值或机制启动牌；使用进阶剑术、火遁、雷遁、忍具或咒印一阶段等表达，但避免最高奥义措辞。 因此采用“火遁·火炎增幅”，避免名称强度高于或低于卡牌实际表现。</x:v>
      </x:c>
      <x:c r="Y48" s="1002" t="str">
        <x:v>Fire Release: Great Fireball Technique / 火遁・豪火球の術</x:v>
      </x:c>
      <x:c r="Z48" s="1004" t="str">
        <x:v>原作、动画、究极风暴</x:v>
      </x:c>
      <x:c r="AA48" s="587" t="str">
        <x:v>面板名“火遁·火炎增幅”保留“火遁·豪火球之术”的核心识别词或完整正式名。新增后缀仅用于反映卡牌机制与区分动作，不冒充新的官方招式。</x:v>
      </x:c>
      <x:c r="AB48" s="587" t="str">
        <x:v>https://naruto-ultimate-ninja-storm.fandom.com/wiki/Sasuke_Uchiha/Move_List</x:v>
      </x:c>
      <x:c r="AC48" s="572" t="str">
        <x:v>否</x:v>
      </x:c>
      <x:c r="AD48" s="573" t="str">
        <x:v>—</x:v>
      </x:c>
      <x:c r="AE48" s="587" t="str">
        <x:v>研究用候选ID；待最新 public-beta 本地审计</x:v>
      </x:c>
      <x:c r="AF48" s="573" t="str">
        <x:v>https://slaythespire.wiki.gg/wiki/Module%3ACards/StS2_data/Ironclad</x:v>
      </x:c>
      <x:c r="AG48" s="1563"/>
      <x:c r="AH48" s="573" t="str">
        <x:v>https://slaythespire.wiki.gg/wiki/Module%3ACards/StS2_data/Ironclad</x:v>
      </x:c>
      <x:c r="AI48" s="1292"/>
    </x:row>
    <x:row r="49" ht="106" customHeight="1">
      <x:c r="A49" s="1562" t="n">
        <x:v>45</x:v>
      </x:c>
      <x:c r="B49" s="572" t="str">
        <x:v>战士普通卡</x:v>
      </x:c>
      <x:c r="C49" s="573" t="str">
        <x:v>戏法</x:v>
      </x:c>
      <x:c r="D49" s="572" t="str">
        <x:v>Juggling</x:v>
      </x:c>
      <x:c r="E49" s="573" t="str">
        <x:v>Juggling</x:v>
      </x:c>
      <x:c r="F49" s="572" t="str">
        <x:v>罕见</x:v>
      </x:c>
      <x:c r="G49" s="572" t="str">
        <x:v>1</x:v>
      </x:c>
      <x:c r="H49" s="572" t="str">
        <x:v>能力</x:v>
      </x:c>
      <x:c r="I49" s="573" t="str">
        <x:v>每回合打出的第3张攻击牌，向手牌加入其1张复制。</x:v>
      </x:c>
      <x:c r="J49" s="573" t="str">
        <x:v>获得固有；每回合打出的第3张攻击牌，向手牌加入其1张复制。</x:v>
      </x:c>
      <x:c r="K49" s="573" t="str">
        <x:v>能力；复制；攻击计数</x:v>
      </x:c>
      <x:c r="L49" s="573" t="str">
        <x:v>卡池=战士普通卡；类型=能力；稀有度=罕见；费用=1；目标=自身；基础效果=每回合打出的第3张攻击牌，向手牌加入其1张复制。；升级效果=获得固有；每回合打出的第3张攻击牌，向手牌加入其1张复制。；关键词=能力；复制；攻击计数</x:v>
      </x:c>
      <x:c r="M49" s="572" t="n">
        <x:v>0</x:v>
      </x:c>
      <x:c r="N49" s="573" t="str">
        <x:v>0（未发现开服后官方稀有度变更记录）</x:v>
      </x:c>
      <x:c r="O49" s="1597" t="str">
        <x:v>操手里剑·三式连携</x:v>
      </x:c>
      <x:c r="P49" s="1602" t="str">
        <x:v>操手里剑之术</x:v>
      </x:c>
      <x:c r="Q49" s="1603" t="str">
        <x:v>原著识别型项目命名（基于“操手里剑之术”）</x:v>
      </x:c>
      <x:c r="R49" s="1604" t="str">
        <x:v>核心目录</x:v>
      </x:c>
      <x:c r="S49" s="1134" t="str">
        <x:v>T2 进阶</x:v>
      </x:c>
      <x:c r="T49" s="784" t="str">
        <x:v>白衣/Hebi对迪达拉战实际使用，首次出现于漫画第358话。</x:v>
      </x:c>
      <x:c r="U49" s="1610" t="str">
        <x:v>无</x:v>
      </x:c>
      <x:c r="V49" s="1611" t="str">
        <x:v>本牌不得开启、延长或强化敌人/场景的写轮眼解析。阶段4角色自身红眼常驻属于形态表现，不代表本牌触发易伤解析。</x:v>
      </x:c>
      <x:c r="W49" s="1003" t="str">
        <x:v>合理性：每回合第3张攻击产生复制，适合在连续攻击中穿插三次手里剑轨迹控制，让关键一击形成第二道投射。联动：Anger、Twin Strike、Pommel Strike 与零费攻击容易凑满次数，复制牌还能继续触发 Rage。</x:v>
      </x:c>
      <x:c r="X49" s="1003" t="str">
        <x:v>强度定位：T2 进阶。稀有度=罕见，费用=1，效果核心为“每回合打出的第3张攻击牌，向手牌加入其1张复制。”。中等数值或机制启动牌；使用进阶剑术、火遁、雷遁、忍具或咒印一阶段等表达，但避免最高奥义措辞。 因此采用“操手里剑·三式连携”，避免名称强度高于或低于卡牌实际表现。</x:v>
      </x:c>
      <x:c r="Y49" s="1002" t="str">
        <x:v>Manipulated Shuriken Technique / 操手裏剣の術</x:v>
      </x:c>
      <x:c r="Z49" s="1004" t="str">
        <x:v>原作漫画、动画、火影忍者手游</x:v>
      </x:c>
      <x:c r="AA49" s="587" t="str">
        <x:v>面板名“操手里剑·三式连携”保留“操手里剑之术”的核心识别词或完整正式名。新增后缀仅用于反映卡牌机制与区分动作，不冒充新的官方招式。</x:v>
      </x:c>
      <x:c r="AB49" s="587" t="str">
        <x:v>https://naruto.fandom.com/wiki/Manipulated_Shuriken_Technique</x:v>
      </x:c>
      <x:c r="AC49" s="572" t="str">
        <x:v>否</x:v>
      </x:c>
      <x:c r="AD49" s="573" t="str">
        <x:v>—</x:v>
      </x:c>
      <x:c r="AE49" s="587" t="str">
        <x:v>研究用候选ID；待最新 public-beta 本地审计</x:v>
      </x:c>
      <x:c r="AF49" s="573" t="str">
        <x:v>https://slaythespire.wiki.gg/wiki/Module%3ACards/StS2_data/Ironclad</x:v>
      </x:c>
      <x:c r="AG49" s="1563"/>
      <x:c r="AH49" s="573" t="str">
        <x:v>https://slaythespire.wiki.gg/wiki/Module%3ACards/StS2_data/Ironclad</x:v>
      </x:c>
      <x:c r="AI49" s="1292"/>
    </x:row>
    <x:row r="50" ht="106" customHeight="1">
      <x:c r="A50" s="1562" t="n">
        <x:v>46</x:v>
      </x:c>
      <x:c r="B50" s="572" t="str">
        <x:v>战士普通卡</x:v>
      </x:c>
      <x:c r="C50" s="573" t="str">
        <x:v>掠夺</x:v>
      </x:c>
      <x:c r="D50" s="572" t="str">
        <x:v>Pillage</x:v>
      </x:c>
      <x:c r="E50" s="573" t="str">
        <x:v>Pillage</x:v>
      </x:c>
      <x:c r="F50" s="572" t="str">
        <x:v>罕见</x:v>
      </x:c>
      <x:c r="G50" s="572" t="str">
        <x:v>1</x:v>
      </x:c>
      <x:c r="H50" s="572" t="str">
        <x:v>攻击</x:v>
      </x:c>
      <x:c r="I50" s="573" t="str">
        <x:v>造成6点伤害；持续抽牌，直到抽到1张非攻击牌。</x:v>
      </x:c>
      <x:c r="J50" s="573" t="str">
        <x:v>造成9点伤害；持续抽牌，直到抽到1张非攻击牌。</x:v>
      </x:c>
      <x:c r="K50" s="573" t="str">
        <x:v>伤害；条件抽牌</x:v>
      </x:c>
      <x:c r="L50" s="573" t="str">
        <x:v>卡池=战士普通卡；类型=攻击；稀有度=罕见；费用=1；目标=单体敌人；基础效果=造成6点伤害；持续抽牌，直到抽到1张非攻击牌。；升级效果=造成9点伤害；持续抽牌，直到抽到1张非攻击牌。；关键词=伤害；条件抽牌</x:v>
      </x:c>
      <x:c r="M50" s="572" t="n">
        <x:v>0</x:v>
      </x:c>
      <x:c r="N50" s="573" t="str">
        <x:v>0（未发现开服后官方稀有度变更记录）</x:v>
      </x:c>
      <x:c r="O50" s="1597" t="str">
        <x:v>操手里剑·牵制换势</x:v>
      </x:c>
      <x:c r="P50" s="1602" t="str">
        <x:v>操手里剑之术</x:v>
      </x:c>
      <x:c r="Q50" s="1603" t="str">
        <x:v>原著识别型项目命名（基于“操手里剑之术”）</x:v>
      </x:c>
      <x:c r="R50" s="1604" t="str">
        <x:v>核心目录</x:v>
      </x:c>
      <x:c r="S50" s="1134" t="str">
        <x:v>T2 进阶</x:v>
      </x:c>
      <x:c r="T50" s="784" t="str">
        <x:v>白衣/Hebi对迪达拉战实际使用，首次出现于漫画第358话。</x:v>
      </x:c>
      <x:c r="U50" s="1610" t="str">
        <x:v>无</x:v>
      </x:c>
      <x:c r="V50" s="1611" t="str">
        <x:v>本牌不得开启、延长或强化敌人/场景的写轮眼解析。阶段4角色自身红眼常驻属于形态表现，不代表本牌触发易伤解析。</x:v>
      </x:c>
      <x:c r="W50" s="1003" t="str">
        <x:v>合理性：先攻击，再持续抽牌直到找到非攻击牌，适合以操手里剑持续牵制敌人，迫使战局转换到技能或能力牌。联动：帮助寻找 Demon Form、Offering、Barricade 等关键非攻击牌，并保持攻击牌体系的连续性。</x:v>
      </x:c>
      <x:c r="X50" s="1003" t="str">
        <x:v>强度定位：T2 进阶。稀有度=罕见，费用=1，效果核心为“造成6点伤害；持续抽牌，直到抽到1张非攻击牌。”。中等数值或机制启动牌；使用进阶剑术、火遁、雷遁、忍具或咒印一阶段等表达，但避免最高奥义措辞。 因此采用“操手里剑·牵制换势”，避免名称强度高于或低于卡牌实际表现。</x:v>
      </x:c>
      <x:c r="Y50" s="1002" t="str">
        <x:v>Manipulated Shuriken Technique / 操手裏剣の術</x:v>
      </x:c>
      <x:c r="Z50" s="1004" t="str">
        <x:v>原作漫画、动画、火影忍者手游</x:v>
      </x:c>
      <x:c r="AA50" s="587" t="str">
        <x:v>面板名“操手里剑·牵制换势”保留“操手里剑之术”的核心识别词或完整正式名。新增后缀仅用于反映卡牌机制与区分动作，不冒充新的官方招式。</x:v>
      </x:c>
      <x:c r="AB50" s="587" t="str">
        <x:v>https://naruto.fandom.com/wiki/Manipulated_Shuriken_Technique</x:v>
      </x:c>
      <x:c r="AC50" s="572" t="str">
        <x:v>否</x:v>
      </x:c>
      <x:c r="AD50" s="573" t="str">
        <x:v>—</x:v>
      </x:c>
      <x:c r="AE50" s="587" t="str">
        <x:v>研究用候选ID；待最新 public-beta 本地审计</x:v>
      </x:c>
      <x:c r="AF50" s="573" t="str">
        <x:v>https://slaythespire.wiki.gg/wiki/Module%3ACards/StS2_data/Ironclad</x:v>
      </x:c>
      <x:c r="AG50" s="1563"/>
      <x:c r="AH50" s="573" t="str">
        <x:v>https://slaythespire.wiki.gg/wiki/Module%3ACards/StS2_data/Ironclad</x:v>
      </x:c>
      <x:c r="AI50" s="1292"/>
    </x:row>
    <x:row r="51" ht="106" customHeight="1">
      <x:c r="A51" s="1562" t="n">
        <x:v>47</x:v>
      </x:c>
      <x:c r="B51" s="572" t="str">
        <x:v>战士普通卡</x:v>
      </x:c>
      <x:c r="C51" s="573" t="str">
        <x:v>狂怒</x:v>
      </x:c>
      <x:c r="D51" s="572" t="str">
        <x:v>Rage</x:v>
      </x:c>
      <x:c r="E51" s="573" t="str">
        <x:v>Rage</x:v>
      </x:c>
      <x:c r="F51" s="572" t="str">
        <x:v>罕见</x:v>
      </x:c>
      <x:c r="G51" s="572" t="str">
        <x:v>0</x:v>
      </x:c>
      <x:c r="H51" s="572" t="str">
        <x:v>技能</x:v>
      </x:c>
      <x:c r="I51" s="573" t="str">
        <x:v>本回合每当打出攻击牌，获得3点格挡。</x:v>
      </x:c>
      <x:c r="J51" s="573" t="str">
        <x:v>本回合每当打出攻击牌，获得5点格挡。</x:v>
      </x:c>
      <x:c r="K51" s="573" t="str">
        <x:v>攻击触发；格挡</x:v>
      </x:c>
      <x:c r="L51" s="573" t="str">
        <x:v>卡池=战士普通卡；类型=技能；稀有度=罕见；费用=0；目标=自身；基础效果=本回合每当打出攻击牌，获得3点格挡。；升级效果=本回合每当打出攻击牌，获得5点格挡。；关键词=攻击触发；格挡</x:v>
      </x:c>
      <x:c r="M51" s="572" t="n">
        <x:v>0</x:v>
      </x:c>
      <x:c r="N51" s="573" t="str">
        <x:v>0（未发现开服后官方稀有度变更记录）</x:v>
      </x:c>
      <x:c r="O51" s="1597" t="str">
        <x:v>千鸟流·雷衣</x:v>
      </x:c>
      <x:c r="P51" s="1602" t="str">
        <x:v>千鸟流</x:v>
      </x:c>
      <x:c r="Q51" s="1603" t="str">
        <x:v>原著识别型项目命名（基于“千鸟流”）</x:v>
      </x:c>
      <x:c r="R51" s="1604" t="str">
        <x:v>核心目录</x:v>
      </x:c>
      <x:c r="S51" s="1134" t="str">
        <x:v>T2 进阶</x:v>
      </x:c>
      <x:c r="T51" s="784" t="str">
        <x:v>白衣/Hebi代表性周身放电招式，兼具攻击与防御。</x:v>
      </x:c>
      <x:c r="U51" s="1610" t="str">
        <x:v>无</x:v>
      </x:c>
      <x:c r="V51" s="1611" t="str">
        <x:v>本牌不得开启、延长或强化敌人/场景的写轮眼解析。阶段4角色自身红眼常驻属于形态表现，不代表本牌触发易伤解析。</x:v>
      </x:c>
      <x:c r="W51" s="1003" t="str">
        <x:v>合理性：本回合每打出攻击都获得格挡，适合千鸟流形成贴身千鸟流·雷衣，攻击动作越密集，环绕身体的电弧防护越完整。联动：与 Anger、Twin Strike、Juggling、Whirlwind、Conflagration 配合，并触发 Juggernaut、Body Slam。</x:v>
      </x:c>
      <x:c r="X51" s="1003" t="str">
        <x:v>强度定位：T2 进阶。稀有度=罕见，费用=0，效果核心为“本回合每当打出攻击牌，获得3点格挡。”。中等数值或机制启动牌；使用进阶剑术、火遁、雷遁、忍具或咒印一阶段等表达，但避免最高奥义措辞。 因此采用“千鸟流·雷衣”，避免名称强度高于或低于卡牌实际表现。</x:v>
      </x:c>
      <x:c r="Y51" s="1002" t="str">
        <x:v>Chidori Current / 千鳥流し</x:v>
      </x:c>
      <x:c r="Z51" s="1004" t="str">
        <x:v>原作漫画、动画、资料书、究极风暴</x:v>
      </x:c>
      <x:c r="AA51" s="587" t="str">
        <x:v>面板名“千鸟流·雷衣”保留“千鸟流”的核心识别词或完整正式名。新增后缀仅用于反映卡牌机制与区分动作，不冒充新的官方招式。</x:v>
      </x:c>
      <x:c r="AB51" s="587" t="str">
        <x:v>https://naruto.fandom.com/wiki/Chidori_Current</x:v>
      </x:c>
      <x:c r="AC51" s="572" t="str">
        <x:v>否</x:v>
      </x:c>
      <x:c r="AD51" s="573" t="str">
        <x:v>—</x:v>
      </x:c>
      <x:c r="AE51" s="587" t="str">
        <x:v>研究用候选ID；待最新 public-beta 本地审计</x:v>
      </x:c>
      <x:c r="AF51" s="573" t="str">
        <x:v>https://slaythespire.wiki.gg/wiki/Module%3ACards/StS2_data/Ironclad</x:v>
      </x:c>
      <x:c r="AG51" s="1563"/>
      <x:c r="AH51" s="573" t="str">
        <x:v>https://slaythespire.wiki.gg/wiki/Module%3ACards/StS2_data/Ironclad</x:v>
      </x:c>
      <x:c r="AI51" s="1292"/>
    </x:row>
    <x:row r="52" ht="106" customHeight="1">
      <x:c r="A52" s="1562" t="n">
        <x:v>48</x:v>
      </x:c>
      <x:c r="B52" s="572" t="str">
        <x:v>战士普通卡</x:v>
      </x:c>
      <x:c r="C52" s="573" t="str">
        <x:v>暴走</x:v>
      </x:c>
      <x:c r="D52" s="572" t="str">
        <x:v>Rampage</x:v>
      </x:c>
      <x:c r="E52" s="573" t="str">
        <x:v>Rampage</x:v>
      </x:c>
      <x:c r="F52" s="572" t="str">
        <x:v>罕见</x:v>
      </x:c>
      <x:c r="G52" s="572" t="str">
        <x:v>1</x:v>
      </x:c>
      <x:c r="H52" s="572" t="str">
        <x:v>攻击</x:v>
      </x:c>
      <x:c r="I52" s="573" t="str">
        <x:v>造成9点伤害；本场战斗中此牌伤害永久增加5点。</x:v>
      </x:c>
      <x:c r="J52" s="573" t="str">
        <x:v>造成9点伤害；本场战斗中此牌伤害永久增加9点。</x:v>
      </x:c>
      <x:c r="K52" s="573" t="str">
        <x:v>卡牌自成长；伤害</x:v>
      </x:c>
      <x:c r="L52" s="573" t="str">
        <x:v>卡池=战士普通卡；类型=攻击；稀有度=罕见；费用=1；目标=单体敌人；基础效果=造成9点伤害；本场战斗中此牌伤害永久增加5点。；升级效果=造成9点伤害；本场战斗中此牌伤害永久增加9点。；关键词=卡牌自成长；伤害</x:v>
      </x:c>
      <x:c r="M52" s="572" t="n">
        <x:v>0</x:v>
      </x:c>
      <x:c r="N52" s="573" t="str">
        <x:v>0（未发现开服后官方稀有度变更记录）</x:v>
      </x:c>
      <x:c r="O52" s="1597" t="str">
        <x:v>草薙剑·千鸟刀·连战</x:v>
      </x:c>
      <x:c r="P52" s="1602" t="str">
        <x:v>草薙剑·千鸟刀</x:v>
      </x:c>
      <x:c r="Q52" s="1603" t="str">
        <x:v>原著识别型项目命名（基于“草薙剑·千鸟刀”）</x:v>
      </x:c>
      <x:c r="R52" s="1604" t="str">
        <x:v>核心目录</x:v>
      </x:c>
      <x:c r="S52" s="1134" t="str">
        <x:v>T2 进阶</x:v>
      </x:c>
      <x:c r="T52" s="784" t="str">
        <x:v>白衣/Hebi与兄弟之战实际使用的雷遁附剑体系。</x:v>
      </x:c>
      <x:c r="U52" s="1610" t="str">
        <x:v>无</x:v>
      </x:c>
      <x:c r="V52" s="1611" t="str">
        <x:v>本牌不得开启、延长或强化敌人/场景的写轮眼解析。阶段4角色自身红眼常驻属于形态表现，不代表本牌触发易伤解析。</x:v>
      </x:c>
      <x:c r="W52" s="1003" t="str">
        <x:v>合理性：同一张牌每次使用都会永久成长，适合草薙剑在连续战斗中累积雷遁、调整斩击角度并越来越锋利。联动：Headbutt 和 Aggression 可反复找回它，One-Two Punch 复制攻击，Setup Strike 与力量体系放大每次成长。</x:v>
      </x:c>
      <x:c r="X52" s="1003" t="str">
        <x:v>强度定位：T2 进阶。稀有度=罕见，费用=1，效果核心为“造成9点伤害；本场战斗中此牌伤害永久增加5点。”。中等数值或机制启动牌；使用进阶剑术、火遁、雷遁、忍具或咒印一阶段等表达，但避免最高奥义措辞。 因此采用“草薙剑·千鸟刀·连战”，避免名称强度高于或低于卡牌实际表现。</x:v>
      </x:c>
      <x:c r="Y52" s="1002" t="str">
        <x:v>Sword of Kusanagi: Chidori Katana / 草薙の剣・千鳥刀</x:v>
      </x:c>
      <x:c r="Z52" s="1004" t="str">
        <x:v>原作漫画、动画、资料书</x:v>
      </x:c>
      <x:c r="AA52" s="587" t="str">
        <x:v>面板名“草薙剑·千鸟刀·连战”保留“草薙剑·千鸟刀”的核心识别词或完整正式名。新增后缀仅用于反映卡牌机制与区分动作，不冒充新的官方招式。</x:v>
      </x:c>
      <x:c r="AB52" s="587" t="str">
        <x:v>https://naruto.fandom.com/wiki/Chidori_Current</x:v>
      </x:c>
      <x:c r="AC52" s="572" t="str">
        <x:v>否</x:v>
      </x:c>
      <x:c r="AD52" s="573" t="str">
        <x:v>—</x:v>
      </x:c>
      <x:c r="AE52" s="587" t="str">
        <x:v>研究用候选ID；待最新 public-beta 本地审计</x:v>
      </x:c>
      <x:c r="AF52" s="573" t="str">
        <x:v>https://slaythespire.wiki.gg/wiki/Module%3ACards/StS2_data/Ironclad</x:v>
      </x:c>
      <x:c r="AG52" s="1563"/>
      <x:c r="AH52" s="573" t="str">
        <x:v>https://slaythespire.wiki.gg/wiki/Module%3ACards/StS2_data/Ironclad</x:v>
      </x:c>
      <x:c r="AI52" s="1292"/>
    </x:row>
    <x:row r="53" ht="106" customHeight="1">
      <x:c r="A53" s="1562" t="n">
        <x:v>49</x:v>
      </x:c>
      <x:c r="B53" s="572" t="str">
        <x:v>战士普通卡</x:v>
      </x:c>
      <x:c r="C53" s="573" t="str">
        <x:v>撕裂</x:v>
      </x:c>
      <x:c r="D53" s="572" t="str">
        <x:v>Rupture</x:v>
      </x:c>
      <x:c r="E53" s="573" t="str">
        <x:v>Rupture</x:v>
      </x:c>
      <x:c r="F53" s="572" t="str">
        <x:v>罕见</x:v>
      </x:c>
      <x:c r="G53" s="572" t="str">
        <x:v>1</x:v>
      </x:c>
      <x:c r="H53" s="572" t="str">
        <x:v>能力</x:v>
      </x:c>
      <x:c r="I53" s="573" t="str">
        <x:v>每当在自己的回合失去生命，获得1点力量。</x:v>
      </x:c>
      <x:c r="J53" s="573" t="str">
        <x:v>每次触发获得2点力量。</x:v>
      </x:c>
      <x:c r="K53" s="573" t="str">
        <x:v>能力；自损触发；力量</x:v>
      </x:c>
      <x:c r="L53" s="573" t="str">
        <x:v>卡池=战士普通卡；类型=能力；稀有度=罕见；费用=1；目标=自身；基础效果=每当在自己的回合失去生命，获得1点力量。；升级效果=每次触发获得2点力量。；关键词=能力；自损触发；力量</x:v>
      </x:c>
      <x:c r="M53" s="572" t="n">
        <x:v>0</x:v>
      </x:c>
      <x:c r="N53" s="573" t="str">
        <x:v>0（未发现开服后官方稀有度变更记录）</x:v>
      </x:c>
      <x:c r="O53" s="1597" t="str">
        <x:v>咒印·伤势增幅</x:v>
      </x:c>
      <x:c r="P53" s="1602" t="str">
        <x:v>天之咒印</x:v>
      </x:c>
      <x:c r="Q53" s="1603" t="str">
        <x:v>原著识别型项目命名（基于“天之咒印”）</x:v>
      </x:c>
      <x:c r="R53" s="1604" t="str">
        <x:v>核心目录</x:v>
      </x:c>
      <x:c r="S53" s="1134" t="str">
        <x:v>T3 高阶</x:v>
      </x:c>
      <x:c r="T53" s="784" t="str">
        <x:v>白衣/Hebi对大蛇丸、迪达拉及鼬的战斗中实际激活。</x:v>
      </x:c>
      <x:c r="U53" s="1610" t="str">
        <x:v>无</x:v>
      </x:c>
      <x:c r="V53" s="1611" t="str">
        <x:v>本牌不得开启、延长或强化敌人/场景的写轮眼解析。阶段4角色自身红眼常驻属于形态表现，不代表本牌触发易伤解析。</x:v>
      </x:c>
      <x:c r="W53" s="1003" t="str">
        <x:v>合理性：己方回合失去生命就获得力量，正是咒印通过伤口与疼痛持续增幅身体能力的核心表现。联动：覆盖 Blood Wall、Breakthrough、Bloodletting、Hemokinesis、Inferno、Brand、Crimson Mantle、Offering、Demonic Shield，并强化 Tear Asunder。</x:v>
      </x:c>
      <x:c r="X53" s="1003" t="str">
        <x:v>强度定位：T3 高阶。稀有度=罕见，费用=1，效果核心为“每当在自己的回合失去生命，获得1点力量。”。稀有度、数值或联动价值较高；使用高阶草薙剑、千鸟变化、蛇术或强协同名称，但不占用最终变身/终结名。 因此采用“咒印·伤势增幅”，避免名称强度高于或低于卡牌实际表现。</x:v>
      </x:c>
      <x:c r="Y53" s="1002" t="str">
        <x:v>Cursed Seal of Heaven / 天の呪印</x:v>
      </x:c>
      <x:c r="Z53" s="1004" t="str">
        <x:v>原作状态/能力</x:v>
      </x:c>
      <x:c r="AA53" s="587" t="str">
        <x:v>面板名“咒印·伤势增幅”保留“天之咒印”的核心识别词或完整正式名。新增后缀仅用于反映卡牌机制与区分动作，不冒充新的官方招式。</x:v>
      </x:c>
      <x:c r="AB53" s="587" t="str">
        <x:v>https://naruto.fandom.com/wiki/Cursed_Seal_of_Heaven</x:v>
      </x:c>
      <x:c r="AC53" s="572" t="str">
        <x:v>否</x:v>
      </x:c>
      <x:c r="AD53" s="573" t="str">
        <x:v>—</x:v>
      </x:c>
      <x:c r="AE53" s="587" t="str">
        <x:v>研究用候选ID；待最新 public-beta 本地审计</x:v>
      </x:c>
      <x:c r="AF53" s="573" t="str">
        <x:v>https://slaythespire.wiki.gg/wiki/Module%3ACards/StS2_data/Ironclad</x:v>
      </x:c>
      <x:c r="AG53" s="1563"/>
      <x:c r="AH53" s="573" t="str">
        <x:v>https://slaythespire.wiki.gg/wiki/Module%3ACards/StS2_data/Ironclad</x:v>
      </x:c>
      <x:c r="AI53" s="1292"/>
    </x:row>
    <x:row r="54" ht="106" customHeight="1">
      <x:c r="A54" s="1562" t="n">
        <x:v>50</x:v>
      </x:c>
      <x:c r="B54" s="572" t="str">
        <x:v>战士普通卡</x:v>
      </x:c>
      <x:c r="C54" s="573" t="str">
        <x:v>重振精神</x:v>
      </x:c>
      <x:c r="D54" s="572" t="str">
        <x:v>SecondWind</x:v>
      </x:c>
      <x:c r="E54" s="573" t="str">
        <x:v>Second Wind</x:v>
      </x:c>
      <x:c r="F54" s="572" t="str">
        <x:v>罕见</x:v>
      </x:c>
      <x:c r="G54" s="572" t="str">
        <x:v>1</x:v>
      </x:c>
      <x:c r="H54" s="572" t="str">
        <x:v>技能</x:v>
      </x:c>
      <x:c r="I54" s="573" t="str">
        <x:v>消耗手牌中所有非攻击牌；每张获得5点格挡。</x:v>
      </x:c>
      <x:c r="J54" s="573" t="str">
        <x:v>每张获得7点格挡。</x:v>
      </x:c>
      <x:c r="K54" s="573" t="str">
        <x:v>批量消耗；格挡</x:v>
      </x:c>
      <x:c r="L54" s="573" t="str">
        <x:v>卡池=战士普通卡；类型=技能；稀有度=罕见；费用=1；目标=自身/手牌；基础效果=消耗手牌中所有非攻击牌；每张获得5点格挡。；升级效果=每张获得7点格挡。；关键词=批量消耗；格挡</x:v>
      </x:c>
      <x:c r="M54" s="572" t="n">
        <x:v>0</x:v>
      </x:c>
      <x:c r="N54" s="573" t="str">
        <x:v>0（未发现开服后官方稀有度变更记录）</x:v>
      </x:c>
      <x:c r="O54" s="1597" t="str">
        <x:v>大蛇丸流替身术</x:v>
      </x:c>
      <x:c r="P54" s="1602" t="str">
        <x:v>大蛇丸流替身术</x:v>
      </x:c>
      <x:c r="Q54" s="1603" t="str">
        <x:v>正式招式名原样采用</x:v>
      </x:c>
      <x:c r="R54" s="1604" t="str">
        <x:v>核心目录</x:v>
      </x:c>
      <x:c r="S54" s="1134" t="str">
        <x:v>T3 高阶</x:v>
      </x:c>
      <x:c r="T54" s="784" t="str">
        <x:v>兄弟之战对鼬实际使用的蜕皮替身术。</x:v>
      </x:c>
      <x:c r="U54" s="1610" t="str">
        <x:v>无</x:v>
      </x:c>
      <x:c r="V54" s="1611" t="str">
        <x:v>本牌不得开启、延长或强化敌人/场景的写轮眼解析。阶段4角色自身红眼常驻属于形态表现，不代表本牌触发易伤解析。</x:v>
      </x:c>
      <x:c r="W54" s="1003" t="str">
        <x:v>合理性：消耗所有非攻击牌并按数量获得格挡，适合大蛇丸流蜕皮——舍弃旧身体与无用状态，生成新的防护外壳。联动：大量触发 Feel No Pain、Dark Embrace、Ashen Strike、Pact's End、Midnight，并给 Body Slam、Juggernaut 提供格挡。</x:v>
      </x:c>
      <x:c r="X54" s="1003" t="str">
        <x:v>强度定位：T3 高阶。稀有度=罕见，费用=1，效果核心为“消耗手牌中所有非攻击牌；每张获得5点格挡。”。稀有度、数值或联动价值较高；使用高阶草薙剑、千鸟变化、蛇术或强协同名称，但不占用最终变身/终结名。 因此采用“大蛇丸流替身术”，避免名称强度高于或低于卡牌实际表现。</x:v>
      </x:c>
      <x:c r="Y54" s="1002" t="str">
        <x:v>Orochimaru-Style Body Replacement Technique / 大蛇丸流の変わり身の術</x:v>
      </x:c>
      <x:c r="Z54" s="1004" t="str">
        <x:v>原作漫画、动画、游戏</x:v>
      </x:c>
      <x:c r="AA54" s="587" t="str">
        <x:v>面板名“大蛇丸流替身术”保留“大蛇丸流替身术”的核心识别词或完整正式名。新增后缀仅用于反映卡牌机制与区分动作，不冒充新的官方招式。</x:v>
      </x:c>
      <x:c r="AB54" s="587" t="str">
        <x:v>https://naruto.fandom.com/wiki/Orochimaru-Style_Body_Replacement_Technique</x:v>
      </x:c>
      <x:c r="AC54" s="572" t="str">
        <x:v>否</x:v>
      </x:c>
      <x:c r="AD54" s="573" t="str">
        <x:v>—</x:v>
      </x:c>
      <x:c r="AE54" s="587" t="str">
        <x:v>研究用候选ID；待最新 public-beta 本地审计</x:v>
      </x:c>
      <x:c r="AF54" s="573" t="str">
        <x:v>https://slaythespire.wiki.gg/wiki/Module%3ACards/StS2_data/Ironclad</x:v>
      </x:c>
      <x:c r="AG54" s="1563"/>
      <x:c r="AH54" s="573" t="str">
        <x:v>https://slaythespire.wiki.gg/wiki/Module%3ACards/StS2_data/Ironclad</x:v>
      </x:c>
      <x:c r="AI54" s="1292"/>
    </x:row>
    <x:row r="55" ht="106" customHeight="1">
      <x:c r="A55" s="1562" t="n">
        <x:v>51</x:v>
      </x:c>
      <x:c r="B55" s="572" t="str">
        <x:v>战士普通卡</x:v>
      </x:c>
      <x:c r="C55" s="573" t="str">
        <x:v>怨恨</x:v>
      </x:c>
      <x:c r="D55" s="572" t="str">
        <x:v>Spite</x:v>
      </x:c>
      <x:c r="E55" s="573" t="str">
        <x:v>Spite</x:v>
      </x:c>
      <x:c r="F55" s="572" t="str">
        <x:v>罕见</x:v>
      </x:c>
      <x:c r="G55" s="572" t="str">
        <x:v>0</x:v>
      </x:c>
      <x:c r="H55" s="572" t="str">
        <x:v>攻击</x:v>
      </x:c>
      <x:c r="I55" s="573" t="str">
        <x:v>造成5点伤害；若本回合已失去生命，则攻击2次。</x:v>
      </x:c>
      <x:c r="J55" s="573" t="str">
        <x:v>造成5点伤害；若本回合已失去生命，则攻击3次。</x:v>
      </x:c>
      <x:c r="K55" s="573" t="str">
        <x:v>自损协同；多段</x:v>
      </x:c>
      <x:c r="L55" s="573" t="str">
        <x:v>卡池=战士普通卡；类型=攻击；稀有度=罕见；费用=0；目标=单体敌人；基础效果=造成5点伤害；若本回合已失去生命，则攻击2次。；升级效果=造成5点伤害；若本回合已失去生命，则攻击3次。；关键词=自损协同；多段</x:v>
      </x:c>
      <x:c r="M55" s="572" t="n">
        <x:v>0</x:v>
      </x:c>
      <x:c r="N55" s="573" t="str">
        <x:v>0（未发现开服后官方稀有度变更记录）</x:v>
      </x:c>
      <x:c r="O55" s="1597" t="str">
        <x:v>咒印·怨恨追击</x:v>
      </x:c>
      <x:c r="P55" s="1602" t="str">
        <x:v>天之咒印</x:v>
      </x:c>
      <x:c r="Q55" s="1603" t="str">
        <x:v>原著识别型项目命名（基于“天之咒印”）</x:v>
      </x:c>
      <x:c r="R55" s="1604" t="str">
        <x:v>核心目录</x:v>
      </x:c>
      <x:c r="S55" s="1134" t="str">
        <x:v>T2 进阶</x:v>
      </x:c>
      <x:c r="T55" s="784" t="str">
        <x:v>白衣/Hebi对大蛇丸、迪达拉及鼬的战斗中实际激活。</x:v>
      </x:c>
      <x:c r="U55" s="1610" t="str">
        <x:v>无</x:v>
      </x:c>
      <x:c r="V55" s="1611" t="str">
        <x:v>本牌不得开启、延长或强化敌人/场景的写轮眼解析。阶段4角色自身红眼常驻属于形态表现，不代表本牌触发易伤解析。</x:v>
      </x:c>
      <x:c r="W55" s="1003" t="str">
        <x:v>合理性：本回合已经失去生命时增加攻击次数，符合咒印把疼痛转成怨恨与更凶狠的连续追斩。联动：接 Bloodletting、Hemokinesis、Offering、Breakthrough、Crimson Mantle；同时与 Rupture、Tear Asunder 共享自损前置。</x:v>
      </x:c>
      <x:c r="X55" s="1003" t="str">
        <x:v>强度定位：T2 进阶。稀有度=罕见，费用=0，效果核心为“造成5点伤害；若本回合已失去生命，则攻击2次。”。中等数值或机制启动牌；使用进阶剑术、火遁、雷遁、忍具或咒印一阶段等表达，但避免最高奥义措辞。 因此采用“咒印·怨恨追击”，避免名称强度高于或低于卡牌实际表现。</x:v>
      </x:c>
      <x:c r="Y55" s="1002" t="str">
        <x:v>Cursed Seal of Heaven / 天の呪印</x:v>
      </x:c>
      <x:c r="Z55" s="1004" t="str">
        <x:v>原作状态/能力</x:v>
      </x:c>
      <x:c r="AA55" s="587" t="str">
        <x:v>面板名“咒印·怨恨追击”保留“天之咒印”的核心识别词或完整正式名。新增后缀仅用于反映卡牌机制与区分动作，不冒充新的官方招式。</x:v>
      </x:c>
      <x:c r="AB55" s="587" t="str">
        <x:v>https://naruto.fandom.com/wiki/Cursed_Seal_of_Heaven</x:v>
      </x:c>
      <x:c r="AC55" s="572" t="str">
        <x:v>否</x:v>
      </x:c>
      <x:c r="AD55" s="573" t="str">
        <x:v>—</x:v>
      </x:c>
      <x:c r="AE55" s="587" t="str">
        <x:v>研究用候选ID；待最新 public-beta 本地审计</x:v>
      </x:c>
      <x:c r="AF55" s="573" t="str">
        <x:v>https://slaythespire.wiki.gg/wiki/Module%3ACards/StS2_data/Ironclad</x:v>
      </x:c>
      <x:c r="AG55" s="1563"/>
      <x:c r="AH55" s="573" t="str">
        <x:v>https://slaythespire.wiki.gg/wiki/Module%3ACards/StS2_data/Ironclad</x:v>
      </x:c>
      <x:c r="AI55" s="1292"/>
    </x:row>
    <x:row r="56" ht="106" customHeight="1">
      <x:c r="A56" s="1562" t="n">
        <x:v>52</x:v>
      </x:c>
      <x:c r="B56" s="572" t="str">
        <x:v>战士普通卡</x:v>
      </x:c>
      <x:c r="C56" s="573" t="str">
        <x:v>奔踏</x:v>
      </x:c>
      <x:c r="D56" s="572" t="str">
        <x:v>Stampede</x:v>
      </x:c>
      <x:c r="E56" s="573" t="str">
        <x:v>Stampede</x:v>
      </x:c>
      <x:c r="F56" s="572" t="str">
        <x:v>罕见</x:v>
      </x:c>
      <x:c r="G56" s="572" t="str">
        <x:v>2→1</x:v>
      </x:c>
      <x:c r="H56" s="572" t="str">
        <x:v>能力</x:v>
      </x:c>
      <x:c r="I56" s="573" t="str">
        <x:v>回合结束时，随机打出手牌中的1张攻击牌并以随机敌人为目标。</x:v>
      </x:c>
      <x:c r="J56" s="573" t="str">
        <x:v>费用降为1；效果不变。</x:v>
      </x:c>
      <x:c r="K56" s="573" t="str">
        <x:v>能力；自动攻击</x:v>
      </x:c>
      <x:c r="L56" s="573" t="str">
        <x:v>卡池=战士普通卡；类型=能力；稀有度=罕见；费用=2→1；目标=自身；基础效果=回合结束时，随机打出手牌中的1张攻击牌并以随机敌人为目标。；升级效果=费用降为1；效果不变。；关键词=能力；自动攻击</x:v>
      </x:c>
      <x:c r="M56" s="572" t="n">
        <x:v>0</x:v>
      </x:c>
      <x:c r="N56" s="573" t="str">
        <x:v>0（未发现开服后官方稀有度变更记录）</x:v>
      </x:c>
      <x:c r="O56" s="1597" t="str">
        <x:v>咒印二·飞翔</x:v>
      </x:c>
      <x:c r="P56" s="1602" t="str">
        <x:v>飞翔</x:v>
      </x:c>
      <x:c r="Q56" s="1603" t="str">
        <x:v>原著识别型项目命名（基于“飞翔”）</x:v>
      </x:c>
      <x:c r="R56" s="1604" t="str">
        <x:v>重点补回</x:v>
      </x:c>
      <x:c r="S56" s="1134" t="str">
        <x:v>T3 高阶</x:v>
      </x:c>
      <x:c r="T56" s="784" t="str">
        <x:v>咒印二佐助以拳脚、翼击和雷遁附剑完成的飞行连段。</x:v>
      </x:c>
      <x:c r="U56" s="1610" t="str">
        <x:v>无</x:v>
      </x:c>
      <x:c r="V56" s="1611" t="str">
        <x:v>本牌不得开启、延长或强化敌人/场景的写轮眼解析。阶段4角色自身红眼常驻属于形态表现，不代表本牌触发易伤解析。</x:v>
      </x:c>
      <x:c r="W56" s="1003" t="str">
        <x:v>合理性：回合结束自动随机打出攻击牌，适合瞬身冲入敌阵后让预先蓄积的攻击动作连续释放。联动：Expect a Fight、Pillage、Battle Trance 可准备攻击手牌；Unrelenting 可让关键后续攻击免费，Rage/Juggling 从攻击次数获益。</x:v>
      </x:c>
      <x:c r="X56" s="1003" t="str">
        <x:v>强度定位：T3 高阶。稀有度=罕见，费用=2→1，效果核心为“回合结束时，随机打出手牌中的1张攻击牌并以随机敌人为目标。”。稀有度、数值或联动价值较高；使用高阶草薙剑、千鸟变化、蛇术或强协同名称，但不占用最终变身/终结名。 因此采用“咒印二·飞翔”，避免名称强度高于或低于卡牌实际表现。</x:v>
      </x:c>
      <x:c r="Y56" s="1002" t="str">
        <x:v>Flight / 飛翔</x:v>
      </x:c>
      <x:c r="Z56" s="1004" t="str">
        <x:v>究极风暴咒印二正式招式</x:v>
      </x:c>
      <x:c r="AA56" s="587" t="str">
        <x:v>面板名“咒印二·飞翔”保留“飞翔”的核心识别词或完整正式名。新增后缀仅用于反映卡牌机制与区分动作，不冒充新的官方招式。</x:v>
      </x:c>
      <x:c r="AB56" s="587" t="str">
        <x:v>https://naruto.fandom.com/wiki/Flight</x:v>
      </x:c>
      <x:c r="AC56" s="572" t="str">
        <x:v>否</x:v>
      </x:c>
      <x:c r="AD56" s="573" t="str">
        <x:v>—</x:v>
      </x:c>
      <x:c r="AE56" s="587" t="str">
        <x:v>研究用候选ID；待最新 public-beta 本地审计</x:v>
      </x:c>
      <x:c r="AF56" s="573" t="str">
        <x:v>https://slaythespire.wiki.gg/wiki/Module%3ACards/StS2_data/Ironclad</x:v>
      </x:c>
      <x:c r="AG56" s="1563"/>
      <x:c r="AH56" s="573" t="str">
        <x:v>https://slaythespire.wiki.gg/wiki/Module%3ACards/StS2_data/Ironclad</x:v>
      </x:c>
      <x:c r="AI56" s="1292"/>
    </x:row>
    <x:row r="57" ht="106" customHeight="1">
      <x:c r="A57" s="1562" t="n">
        <x:v>53</x:v>
      </x:c>
      <x:c r="B57" s="572" t="str">
        <x:v>战士普通卡</x:v>
      </x:c>
      <x:c r="C57" s="573" t="str">
        <x:v>践踏</x:v>
      </x:c>
      <x:c r="D57" s="572" t="str">
        <x:v>Stomp</x:v>
      </x:c>
      <x:c r="E57" s="573" t="str">
        <x:v>Stomp</x:v>
      </x:c>
      <x:c r="F57" s="572" t="str">
        <x:v>罕见</x:v>
      </x:c>
      <x:c r="G57" s="572" t="str">
        <x:v>3</x:v>
      </x:c>
      <x:c r="H57" s="572" t="str">
        <x:v>攻击</x:v>
      </x:c>
      <x:c r="I57" s="573" t="str">
        <x:v>对所有敌人造成12点伤害；本回合每打出1张攻击牌，费用降低1。</x:v>
      </x:c>
      <x:c r="J57" s="573" t="str">
        <x:v>对所有敌人造成15点伤害；费用规则不变。</x:v>
      </x:c>
      <x:c r="K57" s="573" t="str">
        <x:v>群体伤害；动态费用</x:v>
      </x:c>
      <x:c r="L57" s="573" t="str">
        <x:v>卡池=战士普通卡；类型=攻击；稀有度=罕见；费用=3；目标=所有敌人；基础效果=对所有敌人造成12点伤害；本回合每打出1张攻击牌，费用降低1。；升级效果=对所有敌人造成15点伤害；费用规则不变。；关键词=群体伤害；动态费用</x:v>
      </x:c>
      <x:c r="M57" s="572" t="n">
        <x:v>0</x:v>
      </x:c>
      <x:c r="N57" s="573" t="str">
        <x:v>0（未发现开服后官方稀有度变更记录）</x:v>
      </x:c>
      <x:c r="O57" s="1597" t="str">
        <x:v>千鸟·落雷·震地</x:v>
      </x:c>
      <x:c r="P57" s="1602" t="str">
        <x:v>千鸟·落雷</x:v>
      </x:c>
      <x:c r="Q57" s="1603" t="str">
        <x:v>原著识别型项目命名（基于“千鸟·落雷”）</x:v>
      </x:c>
      <x:c r="R57" s="1604" t="str">
        <x:v>核心目录</x:v>
      </x:c>
      <x:c r="S57" s="1134" t="str">
        <x:v>T2 进阶</x:v>
      </x:c>
      <x:c r="T57" s="784" t="str">
        <x:v>《究极风暴》白衣/Hebi佐助空中雷遁附剑下砸动作。</x:v>
      </x:c>
      <x:c r="U57" s="1610" t="str">
        <x:v>无</x:v>
      </x:c>
      <x:c r="V57" s="1611" t="str">
        <x:v>本牌不得开启、延长或强化敌人/场景的写轮眼解析。阶段4角色自身红眼常驻属于形态表现，不代表本牌触发易伤解析。</x:v>
      </x:c>
      <x:c r="W57" s="1003" t="str">
        <x:v>合理性：本回合攻击越多费用越低，表示连续攻势积累速度与冲击，最终由咒印强化的一脚震地收束。联动：Anger、Juggling、Rage、Twin Strike 和零费攻击负责降费，再以群体震击结束连段。</x:v>
      </x:c>
      <x:c r="X57" s="1003" t="str">
        <x:v>强度定位：T2 进阶。稀有度=罕见，费用=3，效果核心为“对所有敌人造成12点伤害；本回合每打出1张攻击牌，费用降低1。”。中等数值或机制启动牌；使用进阶剑术、火遁、雷遁、忍具或咒印一阶段等表达，但避免最高奥义措辞。 因此采用“千鸟·落雷·震地”，避免名称强度高于或低于卡牌实际表现。</x:v>
      </x:c>
      <x:c r="Y57" s="1002" t="str">
        <x:v>Chidori: Lightning Strike / 千鳥・落雷</x:v>
      </x:c>
      <x:c r="Z57" s="1004" t="str">
        <x:v>究极风暴正式招式</x:v>
      </x:c>
      <x:c r="AA57" s="587" t="str">
        <x:v>面板名“千鸟·落雷·震地”保留“千鸟·落雷”的核心识别词或完整正式名。新增后缀仅用于反映卡牌机制与区分动作，不冒充新的官方招式。</x:v>
      </x:c>
      <x:c r="AB57" s="587" t="str">
        <x:v>https://naruto-ultimate-ninja-storm.fandom.com/wiki/Sasuke_Uchiha/Move_List</x:v>
      </x:c>
      <x:c r="AC57" s="572" t="str">
        <x:v>否</x:v>
      </x:c>
      <x:c r="AD57" s="573" t="str">
        <x:v>—</x:v>
      </x:c>
      <x:c r="AE57" s="587" t="str">
        <x:v>研究用候选ID；待最新 public-beta 本地审计</x:v>
      </x:c>
      <x:c r="AF57" s="573" t="str">
        <x:v>https://slaythespire.wiki.gg/wiki/Module%3ACards/StS2_data/Ironclad</x:v>
      </x:c>
      <x:c r="AG57" s="1563"/>
      <x:c r="AH57" s="573" t="str">
        <x:v>https://slaythespire.wiki.gg/wiki/Module%3ACards/StS2_data/Ironclad</x:v>
      </x:c>
      <x:c r="AI57" s="1292"/>
    </x:row>
    <x:row r="58" ht="106" customHeight="1">
      <x:c r="A58" s="1562" t="n">
        <x:v>54</x:v>
      </x:c>
      <x:c r="B58" s="572" t="str">
        <x:v>战士普通卡</x:v>
      </x:c>
      <x:c r="C58" s="573" t="str">
        <x:v>石甲</x:v>
      </x:c>
      <x:c r="D58" s="572" t="str">
        <x:v>StoneArmor</x:v>
      </x:c>
      <x:c r="E58" s="573" t="str">
        <x:v>Stone Armor</x:v>
      </x:c>
      <x:c r="F58" s="572" t="str">
        <x:v>罕见</x:v>
      </x:c>
      <x:c r="G58" s="572" t="str">
        <x:v>1</x:v>
      </x:c>
      <x:c r="H58" s="572" t="str">
        <x:v>能力</x:v>
      </x:c>
      <x:c r="I58" s="573" t="str">
        <x:v>获得4层镀层。</x:v>
      </x:c>
      <x:c r="J58" s="573" t="str">
        <x:v>获得6层镀层。</x:v>
      </x:c>
      <x:c r="K58" s="573" t="str">
        <x:v>能力；持续格挡</x:v>
      </x:c>
      <x:c r="L58" s="573" t="str">
        <x:v>卡池=战士普通卡；类型=能力；稀有度=罕见；费用=1；目标=自身；基础效果=获得4层镀层。；升级效果=获得6层镀层。；关键词=能力；持续格挡</x:v>
      </x:c>
      <x:c r="M58" s="572" t="n">
        <x:v>0</x:v>
      </x:c>
      <x:c r="N58" s="573" t="str">
        <x:v>0（未发现开服后官方稀有度变更记录）</x:v>
      </x:c>
      <x:c r="O58" s="1597" t="str">
        <x:v>蛇蜕·硬化</x:v>
      </x:c>
      <x:c r="P58" s="1602" t="str">
        <x:v>大蛇丸流替身术</x:v>
      </x:c>
      <x:c r="Q58" s="1603" t="str">
        <x:v>原著识别型项目命名（基于“大蛇丸流替身术”）</x:v>
      </x:c>
      <x:c r="R58" s="1604" t="str">
        <x:v>核心目录</x:v>
      </x:c>
      <x:c r="S58" s="1134" t="str">
        <x:v>T2 进阶</x:v>
      </x:c>
      <x:c r="T58" s="784" t="str">
        <x:v>兄弟之战对鼬实际使用的蜕皮替身术。</x:v>
      </x:c>
      <x:c r="U58" s="1610" t="str">
        <x:v>无</x:v>
      </x:c>
      <x:c r="V58" s="1611" t="str">
        <x:v>本牌不得开启、延长或强化敌人/场景的写轮眼解析。阶段4角色自身红眼常驻属于形态表现，不代表本牌触发易伤解析。</x:v>
      </x:c>
      <x:c r="W58" s="1003" t="str">
        <x:v>合理性：获得持续衰减的镀层，适合蛇蜕·硬化或咒印角质逐层硬化覆盖身体，而不是一次性的普通格挡。联动：与 Barricade、Unmovable 形成持久防御，并持续触发 Juggernaut；累积格挡可给 Body Slam 和 Demonic Shield。</x:v>
      </x:c>
      <x:c r="X58" s="1003" t="str">
        <x:v>强度定位：T2 进阶。稀有度=罕见，费用=1，效果核心为“获得4层镀层。”。中等数值或机制启动牌；使用进阶剑术、火遁、雷遁、忍具或咒印一阶段等表达，但避免最高奥义措辞。 因此采用“蛇蜕·硬化”，避免名称强度高于或低于卡牌实际表现。</x:v>
      </x:c>
      <x:c r="Y58" s="1002" t="str">
        <x:v>Orochimaru-Style Body Replacement Technique / 大蛇丸流の変わり身の術</x:v>
      </x:c>
      <x:c r="Z58" s="1004" t="str">
        <x:v>原作漫画、动画、游戏</x:v>
      </x:c>
      <x:c r="AA58" s="587" t="str">
        <x:v>面板名“蛇蜕·硬化”保留“大蛇丸流替身术”的核心识别词或完整正式名。新增后缀仅用于反映卡牌机制与区分动作，不冒充新的官方招式。</x:v>
      </x:c>
      <x:c r="AB58" s="587" t="str">
        <x:v>https://naruto.fandom.com/wiki/Orochimaru-Style_Body_Replacement_Technique</x:v>
      </x:c>
      <x:c r="AC58" s="572" t="str">
        <x:v>否</x:v>
      </x:c>
      <x:c r="AD58" s="573" t="str">
        <x:v>—</x:v>
      </x:c>
      <x:c r="AE58" s="587" t="str">
        <x:v>研究用候选ID；待最新 public-beta 本地审计</x:v>
      </x:c>
      <x:c r="AF58" s="573" t="str">
        <x:v>https://slaythespire.wiki.gg/wiki/Module%3ACards/StS2_data/Ironclad</x:v>
      </x:c>
      <x:c r="AG58" s="1563"/>
      <x:c r="AH58" s="573" t="str">
        <x:v>https://slaythespire.wiki.gg/wiki/Module%3ACards/StS2_data/Ironclad</x:v>
      </x:c>
      <x:c r="AI58" s="1292"/>
    </x:row>
    <x:row r="59" ht="106" customHeight="1">
      <x:c r="A59" s="1562" t="n">
        <x:v>55</x:v>
      </x:c>
      <x:c r="B59" s="572" t="str">
        <x:v>战士普通卡</x:v>
      </x:c>
      <x:c r="C59" s="573" t="str">
        <x:v>不屈猛攻</x:v>
      </x:c>
      <x:c r="D59" s="572" t="str">
        <x:v>Unrelenting</x:v>
      </x:c>
      <x:c r="E59" s="573" t="str">
        <x:v>Unrelenting</x:v>
      </x:c>
      <x:c r="F59" s="572" t="str">
        <x:v>罕见</x:v>
      </x:c>
      <x:c r="G59" s="572" t="str">
        <x:v>2</x:v>
      </x:c>
      <x:c r="H59" s="572" t="str">
        <x:v>攻击</x:v>
      </x:c>
      <x:c r="I59" s="573" t="str">
        <x:v>造成14点伤害；下一张攻击牌费用变为0。</x:v>
      </x:c>
      <x:c r="J59" s="573" t="str">
        <x:v>造成20点伤害；下一张攻击牌费用变为0。</x:v>
      </x:c>
      <x:c r="K59" s="573" t="str">
        <x:v>伤害；费用减免</x:v>
      </x:c>
      <x:c r="L59" s="573" t="str">
        <x:v>卡池=战士普通卡；类型=攻击；稀有度=罕见；费用=2；目标=单体敌人；基础效果=造成14点伤害；下一张攻击牌费用变为0。；升级效果=造成20点伤害；下一张攻击牌费用变为0。；关键词=伤害；费用减免</x:v>
      </x:c>
      <x:c r="M59" s="572" t="n">
        <x:v>0</x:v>
      </x:c>
      <x:c r="N59" s="573" t="str">
        <x:v>0（未发现开服后官方稀有度变更记录）</x:v>
      </x:c>
      <x:c r="O59" s="1597" t="str">
        <x:v>千鸟锐枪</x:v>
      </x:c>
      <x:c r="P59" s="1602" t="str">
        <x:v>千鸟锐枪</x:v>
      </x:c>
      <x:c r="Q59" s="1603" t="str">
        <x:v>正式招式名原样采用</x:v>
      </x:c>
      <x:c r="R59" s="1604" t="str">
        <x:v>核心目录</x:v>
      </x:c>
      <x:c r="S59" s="1134" t="str">
        <x:v>T3 高阶</x:v>
      </x:c>
      <x:c r="T59" s="784" t="str">
        <x:v>白衣/Hebi开发并实际使用的中距离千鸟形态变化。</x:v>
      </x:c>
      <x:c r="U59" s="1610" t="str">
        <x:v>无</x:v>
      </x:c>
      <x:c r="V59" s="1611" t="str">
        <x:v>本牌不得开启、延长或强化敌人/场景的写轮眼解析。阶段4角色自身红眼常驻属于形态表现，不代表本牌触发易伤解析。</x:v>
      </x:c>
      <x:c r="W59" s="1003" t="str">
        <x:v>合理性：先造成重击，再让下一张攻击费用变为0，适合第一刀无间追斩强行打开路线，使后续忍术无需重新蓄势。联动：优先接 Bludgeon、Whirlwind、Fiend Fire、Tear Asunder、Mangle 等高费用或终结攻击。</x:v>
      </x:c>
      <x:c r="X59" s="1003" t="str">
        <x:v>强度定位：T3 高阶。稀有度=罕见，费用=2，效果核心为“造成14点伤害；下一张攻击牌费用变为0。”。稀有度、数值或联动价值较高；使用高阶草薙剑、千鸟变化、蛇术或强协同名称，但不占用最终变身/终结名。 因此采用“千鸟锐枪”，避免名称强度高于或低于卡牌实际表现。</x:v>
      </x:c>
      <x:c r="Y59" s="1002" t="str">
        <x:v>Chidori Sharp Spear / 千鳥鋭槍</x:v>
      </x:c>
      <x:c r="Z59" s="1004" t="str">
        <x:v>原作漫画、动画、究极风暴</x:v>
      </x:c>
      <x:c r="AA59" s="587" t="str">
        <x:v>面板名“千鸟锐枪”保留“千鸟锐枪”的核心识别词或完整正式名。新增后缀仅用于反映卡牌机制与区分动作，不冒充新的官方招式。</x:v>
      </x:c>
      <x:c r="AB59" s="587" t="str">
        <x:v>https://naruto.fandom.com/wiki/Chidori</x:v>
      </x:c>
      <x:c r="AC59" s="572" t="str">
        <x:v>否</x:v>
      </x:c>
      <x:c r="AD59" s="573" t="str">
        <x:v>—</x:v>
      </x:c>
      <x:c r="AE59" s="587" t="str">
        <x:v>研究用候选ID；待最新 public-beta 本地审计</x:v>
      </x:c>
      <x:c r="AF59" s="573" t="str">
        <x:v>https://slaythespire.wiki.gg/wiki/Module%3ACards/StS2_data/Ironclad</x:v>
      </x:c>
      <x:c r="AG59" s="1563"/>
      <x:c r="AH59" s="573" t="str">
        <x:v>https://slaythespire.wiki.gg/wiki/Module%3ACards/StS2_data/Ironclad</x:v>
      </x:c>
      <x:c r="AI59" s="1292"/>
    </x:row>
    <x:row r="60" ht="106" customHeight="1">
      <x:c r="A60" s="1562" t="n">
        <x:v>56</x:v>
      </x:c>
      <x:c r="B60" s="572" t="str">
        <x:v>战士普通卡</x:v>
      </x:c>
      <x:c r="C60" s="573" t="str">
        <x:v>上勾拳</x:v>
      </x:c>
      <x:c r="D60" s="572" t="str">
        <x:v>Uppercut</x:v>
      </x:c>
      <x:c r="E60" s="573" t="str">
        <x:v>Uppercut</x:v>
      </x:c>
      <x:c r="F60" s="572" t="str">
        <x:v>罕见</x:v>
      </x:c>
      <x:c r="G60" s="572" t="str">
        <x:v>2</x:v>
      </x:c>
      <x:c r="H60" s="572" t="str">
        <x:v>攻击</x:v>
      </x:c>
      <x:c r="I60" s="573" t="str">
        <x:v>造成13点伤害；施加1层虚弱和1层易伤。</x:v>
      </x:c>
      <x:c r="J60" s="573" t="str">
        <x:v>造成13点伤害；施加2层虚弱和2层易伤。</x:v>
      </x:c>
      <x:c r="K60" s="573" t="str">
        <x:v>伤害；虚弱；易伤；写轮眼关联</x:v>
      </x:c>
      <x:c r="L60" s="573" t="str">
        <x:v>卡池=战士普通卡；类型=攻击；稀有度=罕见；费用=2；目标=单体敌人；基础效果=造成13点伤害；施加1层虚弱和1层易伤。；升级效果=造成13点伤害；施加2层虚弱和2层易伤。；关键词=伤害；虚弱；易伤；写轮眼关联</x:v>
      </x:c>
      <x:c r="M60" s="572" t="n">
        <x:v>0</x:v>
      </x:c>
      <x:c r="N60" s="573" t="str">
        <x:v>0（未发现开服后官方稀有度变更记录）</x:v>
      </x:c>
      <x:c r="O60" s="1597" t="str">
        <x:v>雷光狮子连弹·破势</x:v>
      </x:c>
      <x:c r="P60" s="1602" t="str">
        <x:v>雷光狮子连弹</x:v>
      </x:c>
      <x:c r="Q60" s="1603" t="str">
        <x:v>原著识别型项目命名（基于“雷光狮子连弹”）</x:v>
      </x:c>
      <x:c r="R60" s="1604" t="str">
        <x:v>核心目录</x:v>
      </x:c>
      <x:c r="S60" s="1134" t="str">
        <x:v>T2 进阶</x:v>
      </x:c>
      <x:c r="T60" s="784" t="str">
        <x:v>《究极风暴》白衣/Hebi佐助的雷遁体术连段。</x:v>
      </x:c>
      <x:c r="U60" s="1610" t="str">
        <x:v>施加易伤｜开启解析</x:v>
      </x:c>
      <x:c r="V60" s="1611" t="str">
        <x:v>升击命中并施加易伤时开启写轮眼解析；虚弱只作为攻击轨迹被压制的附加表现，核心开眼条件仍是易伤。</x:v>
      </x:c>
      <x:c r="W60" s="1003" t="str">
        <x:v>合理性：同时施加虚弱和易伤，最适合用写轮眼预判后以升击连段破坏敌人的攻击发力与防御姿势。联动：一次启动两类写轮眼解析，可强化 Bully、Dismantle、Cruelty、Colossus，并降低 Fight Me!、Tank 等高压局面的风险。</x:v>
      </x:c>
      <x:c r="X60" s="1003" t="str">
        <x:v>强度定位：T2 进阶。稀有度=罕见，费用=2，效果核心为“造成13点伤害；施加1层虚弱和1层易伤。”。中等数值或机制启动牌；使用进阶剑术、火遁、雷遁、忍具或咒印一阶段等表达，但避免最高奥义措辞。 因此采用“雷光狮子连弹·破势”，避免名称强度高于或低于卡牌实际表现。</x:v>
      </x:c>
      <x:c r="Y60" s="1002" t="str">
        <x:v>Lightning Lions Barrage / 雷光獅子連弾</x:v>
      </x:c>
      <x:c r="Z60" s="1004" t="str">
        <x:v>究极风暴正式招式</x:v>
      </x:c>
      <x:c r="AA60" s="587" t="str">
        <x:v>面板名“雷光狮子连弹·破势”保留“雷光狮子连弹”的核心识别词或完整正式名。新增后缀仅用于反映卡牌机制与区分动作，不冒充新的官方招式。</x:v>
      </x:c>
      <x:c r="AB60" s="587" t="str">
        <x:v>https://naruto-ultimate-ninja-storm.fandom.com/wiki/Sasuke_Uchiha/Move_List</x:v>
      </x:c>
      <x:c r="AC60" s="572" t="str">
        <x:v>否</x:v>
      </x:c>
      <x:c r="AD60" s="573" t="str">
        <x:v>—</x:v>
      </x:c>
      <x:c r="AE60" s="587" t="str">
        <x:v>研究用候选ID；待最新 public-beta 本地审计</x:v>
      </x:c>
      <x:c r="AF60" s="573" t="str">
        <x:v>https://slaythespire.wiki.gg/wiki/Module%3ACards/StS2_data/Ironclad</x:v>
      </x:c>
      <x:c r="AG60" s="1563"/>
      <x:c r="AH60" s="573" t="str">
        <x:v>https://slaythespire.wiki.gg/wiki/Module%3ACards/StS2_data/Ironclad</x:v>
      </x:c>
      <x:c r="AI60" s="1292"/>
    </x:row>
    <x:row r="61" ht="106" customHeight="1">
      <x:c r="A61" s="1562" t="n">
        <x:v>57</x:v>
      </x:c>
      <x:c r="B61" s="572" t="str">
        <x:v>战士普通卡</x:v>
      </x:c>
      <x:c r="C61" s="573" t="str">
        <x:v>凶残</x:v>
      </x:c>
      <x:c r="D61" s="572" t="str">
        <x:v>Vicious</x:v>
      </x:c>
      <x:c r="E61" s="573" t="str">
        <x:v>Vicious</x:v>
      </x:c>
      <x:c r="F61" s="572" t="str">
        <x:v>罕见</x:v>
      </x:c>
      <x:c r="G61" s="572" t="str">
        <x:v>1</x:v>
      </x:c>
      <x:c r="H61" s="572" t="str">
        <x:v>能力</x:v>
      </x:c>
      <x:c r="I61" s="573" t="str">
        <x:v>每当施加易伤，抽1张牌。</x:v>
      </x:c>
      <x:c r="J61" s="573" t="str">
        <x:v>每当施加易伤，抽2张牌。</x:v>
      </x:c>
      <x:c r="K61" s="573" t="str">
        <x:v>能力；易伤触发；抽牌；写轮眼关联</x:v>
      </x:c>
      <x:c r="L61" s="573" t="str">
        <x:v>卡池=战士普通卡；类型=能力；稀有度=罕见；费用=1；目标=自身；基础效果=每当施加易伤，抽1张牌。；升级效果=每当施加易伤，抽2张牌。；关键词=能力；易伤触发；抽牌；写轮眼关联</x:v>
      </x:c>
      <x:c r="M61" s="572" t="n">
        <x:v>0</x:v>
      </x:c>
      <x:c r="N61" s="573" t="str">
        <x:v>0（未发现开服后官方稀有度变更记录）</x:v>
      </x:c>
      <x:c r="O61" s="1597" t="str">
        <x:v>写轮眼·弱点追读</x:v>
      </x:c>
      <x:c r="P61" s="1602" t="str">
        <x:v>写轮眼</x:v>
      </x:c>
      <x:c r="Q61" s="1603" t="str">
        <x:v>原著识别型项目命名（基于“写轮眼”）</x:v>
      </x:c>
      <x:c r="R61" s="1604" t="str">
        <x:v>核心目录</x:v>
      </x:c>
      <x:c r="S61" s="1134" t="str">
        <x:v>T2 进阶</x:v>
      </x:c>
      <x:c r="T61" s="784" t="str">
        <x:v>白衣/Hebi与兄弟之战中实际开启，用于观察、预判和幻术。</x:v>
      </x:c>
      <x:c r="U61" s="1610" t="str">
        <x:v>施加易伤触发｜解析反馈</x:v>
      </x:c>
      <x:c r="V61" s="1611" t="str">
        <x:v>任何敌人新获得易伤时触发一次写轮眼信息回收脉冲，并用抽牌表现获得新的进攻路线；没有易伤事件时不触发。</x:v>
      </x:c>
      <x:c r="W61" s="1003" t="str">
        <x:v>合理性：每次施加易伤就抽牌，表示写轮眼每发现一个新破绽，佐助就获得更多可执行路线与战术选择。联动：与 Bash、Taunt、Thunderclap、Tremble、Uppercut、Dominate 高频联动，为 Bully、Dismantle 等兑现牌补牌。</x:v>
      </x:c>
      <x:c r="X61" s="1003" t="str">
        <x:v>强度定位：T2 进阶。稀有度=罕见，费用=1，效果核心为“每当施加易伤，抽1张牌。”。中等数值或机制启动牌；使用进阶剑术、火遁、雷遁、忍具或咒印一阶段等表达，但避免最高奥义措辞。 因此采用“写轮眼·弱点追读”，避免名称强度高于或低于卡牌实际表现。</x:v>
      </x:c>
      <x:c r="Y61" s="1002" t="str">
        <x:v>Sharingan / 写輪眼</x:v>
      </x:c>
      <x:c r="Z61" s="1004" t="str">
        <x:v>原作漫画、动画、资料书</x:v>
      </x:c>
      <x:c r="AA61" s="587" t="str">
        <x:v>面板名“写轮眼·弱点追读”保留“写轮眼”的核心识别词或完整正式名。新增后缀仅用于反映卡牌机制与区分动作，不冒充新的官方招式。</x:v>
      </x:c>
      <x:c r="AB61" s="587" t="str">
        <x:v>https://naruto.fandom.com/wiki/Sasuke_Uchiha</x:v>
      </x:c>
      <x:c r="AC61" s="572" t="str">
        <x:v>否</x:v>
      </x:c>
      <x:c r="AD61" s="573" t="str">
        <x:v>—</x:v>
      </x:c>
      <x:c r="AE61" s="587" t="str">
        <x:v>研究用候选ID；待最新 public-beta 本地审计</x:v>
      </x:c>
      <x:c r="AF61" s="573" t="str">
        <x:v>https://slaythespire.wiki.gg/wiki/Module%3ACards/StS2_data/Ironclad</x:v>
      </x:c>
      <x:c r="AG61" s="1563"/>
      <x:c r="AH61" s="573" t="str">
        <x:v>https://slaythespire.wiki.gg/wiki/Module%3ACards/StS2_data/Ironclad</x:v>
      </x:c>
      <x:c r="AI61" s="1292"/>
    </x:row>
    <x:row r="62" ht="106" customHeight="1">
      <x:c r="A62" s="1562" t="n">
        <x:v>58</x:v>
      </x:c>
      <x:c r="B62" s="572" t="str">
        <x:v>战士普通卡</x:v>
      </x:c>
      <x:c r="C62" s="573" t="str">
        <x:v>旋风斩</x:v>
      </x:c>
      <x:c r="D62" s="572" t="str">
        <x:v>Whirlwind</x:v>
      </x:c>
      <x:c r="E62" s="573" t="str">
        <x:v>Whirlwind</x:v>
      </x:c>
      <x:c r="F62" s="572" t="str">
        <x:v>罕见</x:v>
      </x:c>
      <x:c r="G62" s="572" t="str">
        <x:v>X</x:v>
      </x:c>
      <x:c r="H62" s="572" t="str">
        <x:v>攻击</x:v>
      </x:c>
      <x:c r="I62" s="573" t="str">
        <x:v>消耗全部能量；每点能量对所有敌人造成5点伤害。</x:v>
      </x:c>
      <x:c r="J62" s="573" t="str">
        <x:v>每点能量对所有敌人造成8点伤害。</x:v>
      </x:c>
      <x:c r="K62" s="573" t="str">
        <x:v>X费；群体多段</x:v>
      </x:c>
      <x:c r="L62" s="573" t="str">
        <x:v>卡池=战士普通卡；类型=攻击；稀有度=罕见；费用=X；目标=所有敌人；基础效果=消耗全部能量；每点能量对所有敌人造成5点伤害。；升级效果=每点能量对所有敌人造成8点伤害。；关键词=X费；群体多段</x:v>
      </x:c>
      <x:c r="M62" s="572" t="n">
        <x:v>0</x:v>
      </x:c>
      <x:c r="N62" s="573" t="str">
        <x:v>0（未发现开服后官方稀有度变更记录）</x:v>
      </x:c>
      <x:c r="O62" s="1597" t="str">
        <x:v>千鸟流·剑刃风暴</x:v>
      </x:c>
      <x:c r="P62" s="1602" t="str">
        <x:v>千鸟流</x:v>
      </x:c>
      <x:c r="Q62" s="1603" t="str">
        <x:v>原著识别型项目命名（基于“千鸟流”）</x:v>
      </x:c>
      <x:c r="R62" s="1604" t="str">
        <x:v>核心目录</x:v>
      </x:c>
      <x:c r="S62" s="1134" t="str">
        <x:v>T3 高阶</x:v>
      </x:c>
      <x:c r="T62" s="784" t="str">
        <x:v>白衣/Hebi代表性周身放电招式，兼具攻击与防御。</x:v>
      </x:c>
      <x:c r="U62" s="1610" t="str">
        <x:v>无</x:v>
      </x:c>
      <x:c r="V62" s="1611" t="str">
        <x:v>本牌不得开启、延长或强化敌人/场景的写轮眼解析。阶段4角色自身红眼常驻属于形态表现，不代表本牌触发易伤解析。</x:v>
      </x:c>
      <x:c r="W62" s="1003" t="str">
        <x:v>合理性：消耗全部能量并按能量多次攻击全体，最适合瞬身穿梭敌阵、草薙剑与千鸟流形成逐段同步的剑刃风暴。联动：Bloodletting、Offering、Forgotten Ritual、Pyre、Expect a Fight 负责供能；Inflame、Demon Form、Cruelty 放大每段伤害。</x:v>
      </x:c>
      <x:c r="X62" s="1003" t="str">
        <x:v>强度定位：T3 高阶。稀有度=罕见，费用=X，效果核心为“消耗全部能量；每点能量对所有敌人造成5点伤害。”。稀有度、数值或联动价值较高；使用高阶草薙剑、千鸟变化、蛇术或强协同名称，但不占用最终变身/终结名。 因此采用“千鸟流·剑刃风暴”，避免名称强度高于或低于卡牌实际表现。</x:v>
      </x:c>
      <x:c r="Y62" s="1002" t="str">
        <x:v>Chidori Current / 千鳥流し</x:v>
      </x:c>
      <x:c r="Z62" s="1004" t="str">
        <x:v>原作漫画、动画、资料书、究极风暴</x:v>
      </x:c>
      <x:c r="AA62" s="587" t="str">
        <x:v>面板名“千鸟流·剑刃风暴”保留“千鸟流”的核心识别词或完整正式名。新增后缀仅用于反映卡牌机制与区分动作，不冒充新的官方招式。</x:v>
      </x:c>
      <x:c r="AB62" s="587" t="str">
        <x:v>https://naruto.fandom.com/wiki/Chidori_Current</x:v>
      </x:c>
      <x:c r="AC62" s="572" t="str">
        <x:v>否</x:v>
      </x:c>
      <x:c r="AD62" s="573" t="str">
        <x:v>—</x:v>
      </x:c>
      <x:c r="AE62" s="587" t="str">
        <x:v>研究用候选ID；待最新 public-beta 本地审计</x:v>
      </x:c>
      <x:c r="AF62" s="573" t="str">
        <x:v>https://slaythespire.wiki.gg/wiki/Module%3ACards/StS2_data/Ironclad</x:v>
      </x:c>
      <x:c r="AG62" s="1563"/>
      <x:c r="AH62" s="573" t="str">
        <x:v>https://slaythespire.wiki.gg/wiki/Module%3ACards/StS2_data/Ironclad</x:v>
      </x:c>
      <x:c r="AI62" s="1292"/>
    </x:row>
    <x:row r="63" ht="106" customHeight="1">
      <x:c r="A63" s="1562" t="n">
        <x:v>59</x:v>
      </x:c>
      <x:c r="B63" s="572" t="str">
        <x:v>战士普通卡</x:v>
      </x:c>
      <x:c r="C63" s="573" t="str">
        <x:v>侵略</x:v>
      </x:c>
      <x:c r="D63" s="572" t="str">
        <x:v>Aggression</x:v>
      </x:c>
      <x:c r="E63" s="573" t="str">
        <x:v>Aggression</x:v>
      </x:c>
      <x:c r="F63" s="572" t="str">
        <x:v>稀有</x:v>
      </x:c>
      <x:c r="G63" s="572" t="str">
        <x:v>1</x:v>
      </x:c>
      <x:c r="H63" s="572" t="str">
        <x:v>能力</x:v>
      </x:c>
      <x:c r="I63" s="573" t="str">
        <x:v>每回合开始时，将弃牌堆中的1张随机攻击牌加入手牌并升级。</x:v>
      </x:c>
      <x:c r="J63" s="573" t="str">
        <x:v>获得固有；其余效果不变。</x:v>
      </x:c>
      <x:c r="K63" s="573" t="str">
        <x:v>能力；回收；升级</x:v>
      </x:c>
      <x:c r="L63" s="573" t="str">
        <x:v>卡池=战士普通卡；类型=能力；稀有度=稀有；费用=1；目标=自身；基础效果=每回合开始时，将弃牌堆中的1张随机攻击牌加入手牌并升级。；升级效果=获得固有；其余效果不变。；关键词=能力；回收；升级</x:v>
      </x:c>
      <x:c r="M63" s="572" t="n">
        <x:v>0</x:v>
      </x:c>
      <x:c r="N63" s="573" t="str">
        <x:v>0（未发现开服后官方稀有度变更记录）</x:v>
      </x:c>
      <x:c r="O63" s="1597" t="str">
        <x:v>千鸟刀·战法重铸</x:v>
      </x:c>
      <x:c r="P63" s="1602" t="str">
        <x:v>草薙剑·千鸟刀</x:v>
      </x:c>
      <x:c r="Q63" s="1603" t="str">
        <x:v>原著识别型项目命名（基于“草薙剑·千鸟刀”）</x:v>
      </x:c>
      <x:c r="R63" s="1604" t="str">
        <x:v>核心目录</x:v>
      </x:c>
      <x:c r="S63" s="1134" t="str">
        <x:v>T3 高阶</x:v>
      </x:c>
      <x:c r="T63" s="784" t="str">
        <x:v>白衣/Hebi与兄弟之战实际使用的雷遁附剑体系。</x:v>
      </x:c>
      <x:c r="U63" s="1610" t="str">
        <x:v>无</x:v>
      </x:c>
      <x:c r="V63" s="1611" t="str">
        <x:v>本牌不得开启、延长或强化敌人/场景的写轮眼解析。阶段4角色自身红眼常驻属于形态表现，不代表本牌触发易伤解析。</x:v>
      </x:c>
      <x:c r="W63" s="1003" t="str">
        <x:v>合理性：每回合从弃牌堆取回一张攻击并升级，适合把上一轮使用过的攻击重新注入千鸟刀，修正动作并提升威力。联动：循环 Rampage、Bludgeon、Whirlwind 等主力攻击，与 Armaments、Hellraiser 组成攻击强化链。</x:v>
      </x:c>
      <x:c r="X63" s="1003" t="str">
        <x:v>强度定位：T3 高阶。稀有度=稀有，费用=1，效果核心为“每回合开始时，将弃牌堆中的1张随机攻击牌加入手牌并升级。”。稀有度、数值或联动价值较高；使用高阶草薙剑、千鸟变化、蛇术或强协同名称，但不占用最终变身/终结名。 因此采用“千鸟刀·战法重铸”，避免名称强度高于或低于卡牌实际表现。</x:v>
      </x:c>
      <x:c r="Y63" s="1002" t="str">
        <x:v>Sword of Kusanagi: Chidori Katana / 草薙の剣・千鳥刀</x:v>
      </x:c>
      <x:c r="Z63" s="1004" t="str">
        <x:v>原作漫画、动画、资料书</x:v>
      </x:c>
      <x:c r="AA63" s="587" t="str">
        <x:v>面板名“千鸟刀·战法重铸”保留“草薙剑·千鸟刀”的核心识别词或完整正式名。新增后缀仅用于反映卡牌机制与区分动作，不冒充新的官方招式。</x:v>
      </x:c>
      <x:c r="AB63" s="587" t="str">
        <x:v>https://naruto.fandom.com/wiki/Chidori_Current</x:v>
      </x:c>
      <x:c r="AC63" s="572" t="str">
        <x:v>否</x:v>
      </x:c>
      <x:c r="AD63" s="573" t="str">
        <x:v>—</x:v>
      </x:c>
      <x:c r="AE63" s="587" t="str">
        <x:v>研究用候选ID；待最新 public-beta 本地审计</x:v>
      </x:c>
      <x:c r="AF63" s="573" t="str">
        <x:v>https://slaythespire.wiki.gg/wiki/Module%3ACards/StS2_data/Ironclad</x:v>
      </x:c>
      <x:c r="AG63" s="1563"/>
      <x:c r="AH63" s="573" t="str">
        <x:v>https://slaythespire.wiki.gg/wiki/Module%3ACards/StS2_data/Ironclad</x:v>
      </x:c>
      <x:c r="AI63" s="1292"/>
    </x:row>
    <x:row r="64" ht="106" customHeight="1">
      <x:c r="A64" s="1562" t="n">
        <x:v>60</x:v>
      </x:c>
      <x:c r="B64" s="572" t="str">
        <x:v>战士普通卡</x:v>
      </x:c>
      <x:c r="C64" s="573" t="str">
        <x:v>壁垒</x:v>
      </x:c>
      <x:c r="D64" s="572" t="str">
        <x:v>Barricade</x:v>
      </x:c>
      <x:c r="E64" s="573" t="str">
        <x:v>Barricade</x:v>
      </x:c>
      <x:c r="F64" s="572" t="str">
        <x:v>稀有</x:v>
      </x:c>
      <x:c r="G64" s="572" t="str">
        <x:v>3→2</x:v>
      </x:c>
      <x:c r="H64" s="572" t="str">
        <x:v>能力</x:v>
      </x:c>
      <x:c r="I64" s="573" t="str">
        <x:v>回合开始时不再移除格挡。</x:v>
      </x:c>
      <x:c r="J64" s="573" t="str">
        <x:v>费用降为2；效果不变。</x:v>
      </x:c>
      <x:c r="K64" s="573" t="str">
        <x:v>能力；保留格挡</x:v>
      </x:c>
      <x:c r="L64" s="573" t="str">
        <x:v>卡池=战士普通卡；类型=能力；稀有度=稀有；费用=3→2；目标=自身；基础效果=回合开始时不再移除格挡。；升级效果=费用降为2；效果不变。；关键词=能力；保留格挡</x:v>
      </x:c>
      <x:c r="M64" s="572" t="n">
        <x:v>0</x:v>
      </x:c>
      <x:c r="N64" s="573" t="str">
        <x:v>0（未发现开服后官方稀有度变更记录）</x:v>
      </x:c>
      <x:c r="O64" s="1597" t="str">
        <x:v>蛇睨咒缚·防御阵</x:v>
      </x:c>
      <x:c r="P64" s="1602" t="str">
        <x:v>蛇睨咒缚</x:v>
      </x:c>
      <x:c r="Q64" s="1603" t="str">
        <x:v>原著识别型项目命名（基于“蛇睨咒缚”）</x:v>
      </x:c>
      <x:c r="R64" s="1604" t="str">
        <x:v>核心目录</x:v>
      </x:c>
      <x:c r="S64" s="1134" t="str">
        <x:v>T3 高阶</x:v>
      </x:c>
      <x:c r="T64" s="784" t="str">
        <x:v>白衣/Hebi阶段使用的蛇类束缚术。</x:v>
      </x:c>
      <x:c r="U64" s="1610" t="str">
        <x:v>无</x:v>
      </x:c>
      <x:c r="V64" s="1611" t="str">
        <x:v>本牌不得开启、延长或强化敌人/场景的写轮眼解析。阶段4角色自身红眼常驻属于形态表现，不代表本牌触发易伤解析。</x:v>
      </x:c>
      <x:c r="W64" s="1003" t="str">
        <x:v>合理性：格挡跨回合保留，适合持续存在的蛇阵、火遁壁垒或查克拉防线，而非瞬时格挡动作。联动：积累 Defend、Flame Barrier、Impervious、Unmovable、Tank 的防御，最终供 Body Slam、Demonic Shield 和 Juggernaut 使用。</x:v>
      </x:c>
      <x:c r="X64" s="1003" t="str">
        <x:v>强度定位：T3 高阶。稀有度=稀有，费用=3→2，效果核心为“回合开始时不再移除格挡。”。稀有度、数值或联动价值较高；使用高阶草薙剑、千鸟变化、蛇术或强协同名称，但不占用最终变身/终结名。 因此采用“蛇睨咒缚·防御阵”，避免名称强度高于或低于卡牌实际表现。</x:v>
      </x:c>
      <x:c r="Y64" s="1002" t="str">
        <x:v>Binding Snake Glare Spell / 蛇睨呪縛</x:v>
      </x:c>
      <x:c r="Z64" s="1004" t="str">
        <x:v>原作漫画、动画、资料书</x:v>
      </x:c>
      <x:c r="AA64" s="587" t="str">
        <x:v>面板名“蛇睨咒缚·防御阵”保留“蛇睨咒缚”的核心识别词或完整正式名。新增后缀仅用于反映卡牌机制与区分动作，不冒充新的官方招式。</x:v>
      </x:c>
      <x:c r="AB64" s="587" t="str">
        <x:v>https://naruto.fandom.com/wiki/Binding_Snake_Glare_Spell</x:v>
      </x:c>
      <x:c r="AC64" s="572" t="str">
        <x:v>否</x:v>
      </x:c>
      <x:c r="AD64" s="573" t="str">
        <x:v>—</x:v>
      </x:c>
      <x:c r="AE64" s="587" t="str">
        <x:v>研究用候选ID；待最新 public-beta 本地审计</x:v>
      </x:c>
      <x:c r="AF64" s="573" t="str">
        <x:v>https://slaythespire.wiki.gg/wiki/Module%3ACards/StS2_data/Ironclad</x:v>
      </x:c>
      <x:c r="AG64" s="1563"/>
      <x:c r="AH64" s="573" t="str">
        <x:v>https://slaythespire.wiki.gg/wiki/Module%3ACards/StS2_data/Ironclad</x:v>
      </x:c>
      <x:c r="AI64" s="1292"/>
    </x:row>
    <x:row r="65" ht="106" customHeight="1">
      <x:c r="A65" s="1562" t="n">
        <x:v>61</x:v>
      </x:c>
      <x:c r="B65" s="572" t="str">
        <x:v>战士普通卡</x:v>
      </x:c>
      <x:c r="C65" s="573" t="str">
        <x:v>烙印</x:v>
      </x:c>
      <x:c r="D65" s="572" t="str">
        <x:v>Brand</x:v>
      </x:c>
      <x:c r="E65" s="573" t="str">
        <x:v>Brand</x:v>
      </x:c>
      <x:c r="F65" s="572" t="str">
        <x:v>稀有</x:v>
      </x:c>
      <x:c r="G65" s="572" t="str">
        <x:v>0</x:v>
      </x:c>
      <x:c r="H65" s="572" t="str">
        <x:v>技能</x:v>
      </x:c>
      <x:c r="I65" s="573" t="str">
        <x:v>失去1点生命；消耗手牌中的1张牌；获得1点力量。</x:v>
      </x:c>
      <x:c r="J65" s="573" t="str">
        <x:v>失去1点生命；消耗1张牌；获得2点力量。</x:v>
      </x:c>
      <x:c r="K65" s="573" t="str">
        <x:v>自损；消耗；力量；战损阈值</x:v>
      </x:c>
      <x:c r="L65" s="573" t="str">
        <x:v>卡池=战士普通卡；类型=技能；稀有度=稀有；费用=0；目标=自身/手牌；基础效果=失去1点生命；消耗手牌中的1张牌；获得1点力量。；升级效果=失去1点生命；消耗1张牌；获得2点力量。；关键词=自损；消耗；力量；战损阈值</x:v>
      </x:c>
      <x:c r="M65" s="572" t="n">
        <x:v>0</x:v>
      </x:c>
      <x:c r="N65" s="573" t="str">
        <x:v>0（未发现开服后官方稀有度变更记录）</x:v>
      </x:c>
      <x:c r="O65" s="1597" t="str">
        <x:v>天之咒印</x:v>
      </x:c>
      <x:c r="P65" s="1602" t="str">
        <x:v>天之咒印</x:v>
      </x:c>
      <x:c r="Q65" s="1603" t="str">
        <x:v>正式招式名原样采用</x:v>
      </x:c>
      <x:c r="R65" s="1604" t="str">
        <x:v>核心目录</x:v>
      </x:c>
      <x:c r="S65" s="1134" t="str">
        <x:v>T3 高阶</x:v>
      </x:c>
      <x:c r="T65" s="784" t="str">
        <x:v>白衣/Hebi对大蛇丸、迪达拉及鼬的战斗中实际激活。</x:v>
      </x:c>
      <x:c r="U65" s="1610" t="str">
        <x:v>无</x:v>
      </x:c>
      <x:c r="V65" s="1611" t="str">
        <x:v>本牌不得开启、延长或强化敌人/场景的写轮眼解析。阶段4角色自身红眼常驻属于形态表现，不代表本牌触发易伤解析。</x:v>
      </x:c>
      <x:c r="W65" s="1003" t="str">
        <x:v>合理性：同时自损、消耗卡牌并获得力量，是咒印以身体和战斗资源双重献祭完成“刻印”的最完整映射。联动：同时触发 Rupture、Spite、Feel No Pain、Dark Embrace、Ashen Strike、Pact's End、Tear Asunder 与 Midnight。</x:v>
      </x:c>
      <x:c r="X65" s="1003" t="str">
        <x:v>强度定位：T3 高阶。稀有度=稀有，费用=0，效果核心为“失去1点生命；消耗手牌中的1张牌；获得1点力量。”。稀有度、数值或联动价值较高；使用高阶草薙剑、千鸟变化、蛇术或强协同名称，但不占用最终变身/终结名。 因此采用“天之咒印”，避免名称强度高于或低于卡牌实际表现。</x:v>
      </x:c>
      <x:c r="Y65" s="1002" t="str">
        <x:v>Cursed Seal of Heaven / 天の呪印</x:v>
      </x:c>
      <x:c r="Z65" s="1004" t="str">
        <x:v>原作状态/能力</x:v>
      </x:c>
      <x:c r="AA65" s="587" t="str">
        <x:v>面板名“天之咒印”保留“天之咒印”的核心识别词或完整正式名。新增后缀仅用于反映卡牌机制与区分动作，不冒充新的官方招式。</x:v>
      </x:c>
      <x:c r="AB65" s="587" t="str">
        <x:v>https://naruto.fandom.com/wiki/Cursed_Seal_of_Heaven</x:v>
      </x:c>
      <x:c r="AC65" s="572" t="str">
        <x:v>否</x:v>
      </x:c>
      <x:c r="AD65" s="573" t="str">
        <x:v>—</x:v>
      </x:c>
      <x:c r="AE65" s="587" t="str">
        <x:v>研究用候选ID；待最新 public-beta 本地审计</x:v>
      </x:c>
      <x:c r="AF65" s="573" t="str">
        <x:v>https://slaythespire.wiki.gg/wiki/Module%3ACards/StS2_data/Ironclad</x:v>
      </x:c>
      <x:c r="AG65" s="1563"/>
      <x:c r="AH65" s="573" t="str">
        <x:v>https://slaythespire.wiki.gg/wiki/Module%3ACards/StS2_data/Ironclad</x:v>
      </x:c>
      <x:c r="AI65" s="1292"/>
    </x:row>
    <x:row r="66" ht="106" customHeight="1">
      <x:c r="A66" s="1562" t="n">
        <x:v>62</x:v>
      </x:c>
      <x:c r="B66" s="572" t="str">
        <x:v>战士普通卡</x:v>
      </x:c>
      <x:c r="C66" s="573" t="str">
        <x:v>连锁</x:v>
      </x:c>
      <x:c r="D66" s="572" t="str">
        <x:v>Cascade</x:v>
      </x:c>
      <x:c r="E66" s="573" t="str">
        <x:v>Cascade</x:v>
      </x:c>
      <x:c r="F66" s="572" t="str">
        <x:v>稀有</x:v>
      </x:c>
      <x:c r="G66" s="572" t="str">
        <x:v>X</x:v>
      </x:c>
      <x:c r="H66" s="572" t="str">
        <x:v>技能</x:v>
      </x:c>
      <x:c r="I66" s="573" t="str">
        <x:v>消耗X点能量，依次打出抽牌堆顶的X张牌。</x:v>
      </x:c>
      <x:c r="J66" s="573" t="str">
        <x:v>依次打出抽牌堆顶的X+1张牌。</x:v>
      </x:c>
      <x:c r="K66" s="573" t="str">
        <x:v>X费；自动打出</x:v>
      </x:c>
      <x:c r="L66" s="573" t="str">
        <x:v>卡池=战士普通卡；类型=技能；稀有度=稀有；费用=X；目标=抽牌堆；基础效果=消耗X点能量，依次打出抽牌堆顶的X张牌。；升级效果=依次打出抽牌堆顶的X+1张牌。；关键词=X费；自动打出</x:v>
      </x:c>
      <x:c r="M66" s="572" t="n">
        <x:v>0</x:v>
      </x:c>
      <x:c r="N66" s="573" t="str">
        <x:v>0（未发现开服后官方稀有度变更记录）</x:v>
      </x:c>
      <x:c r="O66" s="1597" t="str">
        <x:v>咒印·连锁释放</x:v>
      </x:c>
      <x:c r="P66" s="1602" t="str">
        <x:v>天之咒印</x:v>
      </x:c>
      <x:c r="Q66" s="1603" t="str">
        <x:v>原著识别型项目命名（基于“天之咒印”）</x:v>
      </x:c>
      <x:c r="R66" s="1604" t="str">
        <x:v>核心目录</x:v>
      </x:c>
      <x:c r="S66" s="1134" t="str">
        <x:v>T3 高阶</x:v>
      </x:c>
      <x:c r="T66" s="784" t="str">
        <x:v>白衣/Hebi对大蛇丸、迪达拉及鼬的战斗中实际激活。</x:v>
      </x:c>
      <x:c r="U66" s="1610" t="str">
        <x:v>无</x:v>
      </x:c>
      <x:c r="V66" s="1611" t="str">
        <x:v>本牌不得开启、延长或强化敌人/场景的写轮眼解析。阶段4角色自身红眼常驻属于形态表现，不代表本牌触发易伤解析。</x:v>
      </x:c>
      <x:c r="W66" s="1003" t="str">
        <x:v>合理性：按投入能量依次自动打出牌堆顶卡牌，适合咒印查克拉连续涌出、驱动一串已经准备好的动作。联动：Headbutt 可控制首张牌，Bloodletting、Offering、Pyre 提供能量。</x:v>
      </x:c>
      <x:c r="X66" s="1003" t="str">
        <x:v>强度定位：T3 高阶。稀有度=稀有，费用=X，效果核心为“消耗X点能量，依次打出抽牌堆顶的X张牌。”。稀有度、数值或联动价值较高；使用高阶草薙剑、千鸟变化、蛇术或强协同名称，但不占用最终变身/终结名。 因此采用“咒印·连锁释放”，避免名称强度高于或低于卡牌实际表现。</x:v>
      </x:c>
      <x:c r="Y66" s="1002" t="str">
        <x:v>Cursed Seal of Heaven / 天の呪印</x:v>
      </x:c>
      <x:c r="Z66" s="1004" t="str">
        <x:v>原作状态/能力</x:v>
      </x:c>
      <x:c r="AA66" s="587" t="str">
        <x:v>面板名“咒印·连锁释放”保留“天之咒印”的核心识别词或完整正式名。新增后缀仅用于反映卡牌机制与区分动作，不冒充新的官方招式。</x:v>
      </x:c>
      <x:c r="AB66" s="587" t="str">
        <x:v>https://naruto.fandom.com/wiki/Cursed_Seal_of_Heaven</x:v>
      </x:c>
      <x:c r="AC66" s="572" t="str">
        <x:v>否</x:v>
      </x:c>
      <x:c r="AD66" s="573" t="str">
        <x:v>—</x:v>
      </x:c>
      <x:c r="AE66" s="587" t="str">
        <x:v>研究用候选ID；待最新 public-beta 本地审计</x:v>
      </x:c>
      <x:c r="AF66" s="573" t="str">
        <x:v>https://slaythespire.wiki.gg/wiki/Module%3ACards/StS2_data/Ironclad</x:v>
      </x:c>
      <x:c r="AG66" s="1563"/>
      <x:c r="AH66" s="573" t="str">
        <x:v>https://slaythespire.wiki.gg/wiki/Module%3ACards/StS2_data/Ironclad</x:v>
      </x:c>
      <x:c r="AI66" s="1292"/>
    </x:row>
    <x:row r="67" ht="106" customHeight="1">
      <x:c r="A67" s="1562" t="n">
        <x:v>63</x:v>
      </x:c>
      <x:c r="B67" s="572" t="str">
        <x:v>战士普通卡</x:v>
      </x:c>
      <x:c r="C67" s="573" t="str">
        <x:v>大火</x:v>
      </x:c>
      <x:c r="D67" s="572" t="str">
        <x:v>Conflagration</x:v>
      </x:c>
      <x:c r="E67" s="573" t="str">
        <x:v>Conflagration</x:v>
      </x:c>
      <x:c r="F67" s="572" t="str">
        <x:v>稀有</x:v>
      </x:c>
      <x:c r="G67" s="572" t="str">
        <x:v>1</x:v>
      </x:c>
      <x:c r="H67" s="572" t="str">
        <x:v>攻击</x:v>
      </x:c>
      <x:c r="I67" s="573" t="str">
        <x:v>对所有敌人造成2点伤害4次。</x:v>
      </x:c>
      <x:c r="J67" s="573" t="str">
        <x:v>对所有敌人造成2点伤害5次。</x:v>
      </x:c>
      <x:c r="K67" s="573" t="str">
        <x:v>群体多段；火焰</x:v>
      </x:c>
      <x:c r="L67" s="573" t="str">
        <x:v>卡池=战士普通卡；类型=攻击；稀有度=稀有；费用=1；目标=所有敌人；基础效果=对所有敌人造成2点伤害4次。；升级效果=对所有敌人造成2点伤害5次。；关键词=群体多段；火焰</x:v>
      </x:c>
      <x:c r="M67" s="572" t="n">
        <x:v>0</x:v>
      </x:c>
      <x:c r="N67" s="573" t="str">
        <x:v>0（未发现开服后官方稀有度变更记录）</x:v>
      </x:c>
      <x:c r="O67" s="1597" t="str">
        <x:v>火遁·凤仙火之术</x:v>
      </x:c>
      <x:c r="P67" s="1602" t="str">
        <x:v>火遁·凤仙火之术</x:v>
      </x:c>
      <x:c r="Q67" s="1603" t="str">
        <x:v>正式招式名原样采用</x:v>
      </x:c>
      <x:c r="R67" s="1604" t="str">
        <x:v>本次Web补回（游戏）</x:v>
      </x:c>
      <x:c r="S67" s="1134" t="str">
        <x:v>T3 高阶</x:v>
      </x:c>
      <x:c r="T67" s="784" t="str">
        <x:v>《究极风暴》确认“火遁·凤仙火之术”为佐助官方游戏招式；Storm 2招式表将其列为白衣/Hebi咒印二的特殊投射动作。</x:v>
      </x:c>
      <x:c r="U67" s="1610" t="str">
        <x:v>无</x:v>
      </x:c>
      <x:c r="V67" s="1611" t="str">
        <x:v>本牌不得开启、延长或强化敌人/场景的写轮眼解析。阶段4角色自身红眼常驻属于形态表现，不代表本牌触发易伤解析。</x:v>
      </x:c>
      <x:c r="W67" s="1003" t="str">
        <x:v>合理性：对所有敌人造成固定多段小伤害，最适合表现为连续喷射多枚小型火球的“火遁·凤仙火之术”。联动：多段攻击充分利用 Inflame、Demon Form、Setup Strike；Thunderclap 与 Cruelty 可先建立群体易伤增伤。</x:v>
      </x:c>
      <x:c r="X67" s="1003" t="str">
        <x:v>强度定位：T3 高阶。稀有度=稀有，费用=1，效果核心为“对所有敌人造成2点伤害4次。”。稀有度、数值或联动价值较高；使用高阶草薙剑、千鸟变化、蛇术或强协同名称，但不占用最终变身/终结名。 因此采用“火遁·凤仙火之术”，避免名称强度高于或低于卡牌实际表现。</x:v>
      </x:c>
      <x:c r="Y67" s="1002" t="str">
        <x:v>Fire Release: Phoenix Sage Fire Technique / 火遁・鳳仙火の術</x:v>
      </x:c>
      <x:c r="Z67" s="1004" t="str">
        <x:v>究极风暴正式招式；目标形态归属来自游戏招式表</x:v>
      </x:c>
      <x:c r="AA67" s="587" t="str">
        <x:v>正式游戏招式名原样使用。招式本身真实性已确认；其作为白衣/Hebi咒印二特殊投射的归属主要依据Storm 2招式表，置信度中等，建议后续本地实机再次核对。</x:v>
      </x:c>
      <x:c r="AB67" s="587" t="str">
        <x:v>https://naruto-ultimate-ninja-storm.fandom.com/wiki/Fire_Style%3A_Phoenix_Flower_Jutsu_%28Ninjutsu%29 ; https://gamefaqs.gamespot.com/ps3/982706-naruto-shippuden-ultimate-ninja-storm-2/answers/234343-what-are-all-the-moves-forms-mangekyo-eye-transformations-of-sasuke-in-this-game</x:v>
      </x:c>
      <x:c r="AC67" s="572" t="str">
        <x:v>否</x:v>
      </x:c>
      <x:c r="AD67" s="573" t="str">
        <x:v>—</x:v>
      </x:c>
      <x:c r="AE67" s="587" t="str">
        <x:v>研究用候选ID；待最新 public-beta 本地审计</x:v>
      </x:c>
      <x:c r="AF67" s="573" t="str">
        <x:v>https://slaythespire.wiki.gg/wiki/Module%3ACards/StS2_data/Ironclad</x:v>
      </x:c>
      <x:c r="AG67" s="1563"/>
      <x:c r="AH67" s="573" t="str">
        <x:v>https://slaythespire.wiki.gg/wiki/Module%3ACards/StS2_data/Ironclad</x:v>
      </x:c>
      <x:c r="AI67" s="1292"/>
    </x:row>
    <x:row r="68" ht="106" customHeight="1">
      <x:c r="A68" s="1562" t="n">
        <x:v>64</x:v>
      </x:c>
      <x:c r="B68" s="572" t="str">
        <x:v>战士普通卡</x:v>
      </x:c>
      <x:c r="C68" s="573" t="str">
        <x:v>猩红斗篷</x:v>
      </x:c>
      <x:c r="D68" s="572" t="str">
        <x:v>CrimsonMantle</x:v>
      </x:c>
      <x:c r="E68" s="573" t="str">
        <x:v>Crimson Mantle</x:v>
      </x:c>
      <x:c r="F68" s="572" t="str">
        <x:v>稀有</x:v>
      </x:c>
      <x:c r="G68" s="572" t="str">
        <x:v>1</x:v>
      </x:c>
      <x:c r="H68" s="572" t="str">
        <x:v>能力</x:v>
      </x:c>
      <x:c r="I68" s="573" t="str">
        <x:v>每回合开始失去1点生命并获得7点格挡。</x:v>
      </x:c>
      <x:c r="J68" s="573" t="str">
        <x:v>每回合开始失去1点生命并获得10点格挡。</x:v>
      </x:c>
      <x:c r="K68" s="573" t="str">
        <x:v>能力；持续自损；格挡；战损阈值</x:v>
      </x:c>
      <x:c r="L68" s="573" t="str">
        <x:v>卡池=战士普通卡；类型=能力；稀有度=稀有；费用=1；目标=自身；基础效果=每回合开始失去1点生命并获得7点格挡。；升级效果=每回合开始失去1点生命并获得10点格挡。；关键词=能力；持续自损；格挡；战损阈值</x:v>
      </x:c>
      <x:c r="M68" s="572" t="n">
        <x:v>0</x:v>
      </x:c>
      <x:c r="N68" s="573" t="str">
        <x:v>0（未发现开服后官方稀有度变更记录）</x:v>
      </x:c>
      <x:c r="O68" s="1597" t="str">
        <x:v>咒印·查克拉外衣</x:v>
      </x:c>
      <x:c r="P68" s="1602" t="str">
        <x:v>天之咒印</x:v>
      </x:c>
      <x:c r="Q68" s="1603" t="str">
        <x:v>原著识别型项目命名（基于“天之咒印”）</x:v>
      </x:c>
      <x:c r="R68" s="1604" t="str">
        <x:v>核心目录</x:v>
      </x:c>
      <x:c r="S68" s="1134" t="str">
        <x:v>T3 高阶</x:v>
      </x:c>
      <x:c r="T68" s="784" t="str">
        <x:v>白衣/Hebi对大蛇丸、迪达拉及鼬的战斗中实际激活。</x:v>
      </x:c>
      <x:c r="U68" s="1610" t="str">
        <x:v>无</x:v>
      </x:c>
      <x:c r="V68" s="1611" t="str">
        <x:v>本牌不得开启、延长或强化敌人/场景的写轮眼解析。阶段4角色自身红眼常驻属于形态表现，不代表本牌触发易伤解析。</x:v>
      </x:c>
      <x:c r="W68" s="1003" t="str">
        <x:v>合理性：每回合自损并获得格挡，可表现为以血液维持的咒印查克拉外衣，持续保护身体但不断索取代价。联动：触发 Rupture、Inferno、Spite、Tear Asunder，并向 Body Slam、Juggernaut、Barricade 提供稳定格挡。</x:v>
      </x:c>
      <x:c r="X68" s="1003" t="str">
        <x:v>强度定位：T3 高阶。稀有度=稀有，费用=1，效果核心为“每回合开始失去1点生命并获得7点格挡。”。稀有度、数值或联动价值较高；使用高阶草薙剑、千鸟变化、蛇术或强协同名称，但不占用最终变身/终结名。 因此采用“咒印·查克拉外衣”，避免名称强度高于或低于卡牌实际表现。</x:v>
      </x:c>
      <x:c r="Y68" s="1002" t="str">
        <x:v>Cursed Seal of Heaven / 天の呪印</x:v>
      </x:c>
      <x:c r="Z68" s="1004" t="str">
        <x:v>原作状态/能力</x:v>
      </x:c>
      <x:c r="AA68" s="587" t="str">
        <x:v>面板名“咒印·查克拉外衣”保留“天之咒印”的核心识别词或完整正式名。新增后缀仅用于反映卡牌机制与区分动作，不冒充新的官方招式。</x:v>
      </x:c>
      <x:c r="AB68" s="587" t="str">
        <x:v>https://naruto.fandom.com/wiki/Cursed_Seal_of_Heaven</x:v>
      </x:c>
      <x:c r="AC68" s="572" t="str">
        <x:v>否</x:v>
      </x:c>
      <x:c r="AD68" s="573" t="str">
        <x:v>—</x:v>
      </x:c>
      <x:c r="AE68" s="587" t="str">
        <x:v>研究用候选ID；待最新 public-beta 本地审计</x:v>
      </x:c>
      <x:c r="AF68" s="573" t="str">
        <x:v>https://slaythespire.wiki.gg/wiki/Module%3ACards/StS2_data/Ironclad</x:v>
      </x:c>
      <x:c r="AG68" s="1563"/>
      <x:c r="AH68" s="573" t="str">
        <x:v>https://slaythespire.wiki.gg/wiki/Module%3ACards/StS2_data/Ironclad</x:v>
      </x:c>
      <x:c r="AI68" s="1292"/>
    </x:row>
    <x:row r="69" ht="106" customHeight="1">
      <x:c r="A69" s="1562" t="n">
        <x:v>65</x:v>
      </x:c>
      <x:c r="B69" s="572" t="str">
        <x:v>战士普通卡</x:v>
      </x:c>
      <x:c r="C69" s="573" t="str">
        <x:v>黑暗之拥</x:v>
      </x:c>
      <x:c r="D69" s="572" t="str">
        <x:v>DarkEmbrace</x:v>
      </x:c>
      <x:c r="E69" s="573" t="str">
        <x:v>Dark Embrace</x:v>
      </x:c>
      <x:c r="F69" s="572" t="str">
        <x:v>稀有</x:v>
      </x:c>
      <x:c r="G69" s="572" t="str">
        <x:v>2→1</x:v>
      </x:c>
      <x:c r="H69" s="572" t="str">
        <x:v>能力</x:v>
      </x:c>
      <x:c r="I69" s="573" t="str">
        <x:v>每当一张牌被消耗，抽1张牌。</x:v>
      </x:c>
      <x:c r="J69" s="573" t="str">
        <x:v>费用降为1；效果不变。</x:v>
      </x:c>
      <x:c r="K69" s="573" t="str">
        <x:v>能力；消耗触发；抽牌</x:v>
      </x:c>
      <x:c r="L69" s="573" t="str">
        <x:v>卡池=战士普通卡；类型=能力；稀有度=稀有；费用=2→1；目标=自身；基础效果=每当一张牌被消耗，抽1张牌。；升级效果=费用降为1；效果不变。；关键词=能力；消耗触发；抽牌</x:v>
      </x:c>
      <x:c r="M69" s="572" t="n">
        <x:v>0</x:v>
      </x:c>
      <x:c r="N69" s="573" t="str">
        <x:v>0（未发现开服后官方稀有度变更记录）</x:v>
      </x:c>
      <x:c r="O69" s="1597" t="str">
        <x:v>咒印·吞噬回流</x:v>
      </x:c>
      <x:c r="P69" s="1602" t="str">
        <x:v>天之咒印</x:v>
      </x:c>
      <x:c r="Q69" s="1603" t="str">
        <x:v>原著识别型项目命名（基于“天之咒印”）</x:v>
      </x:c>
      <x:c r="R69" s="1604" t="str">
        <x:v>核心目录</x:v>
      </x:c>
      <x:c r="S69" s="1134" t="str">
        <x:v>T3 高阶</x:v>
      </x:c>
      <x:c r="T69" s="784" t="str">
        <x:v>白衣/Hebi对大蛇丸、迪达拉及鼬的战斗中实际激活。</x:v>
      </x:c>
      <x:c r="U69" s="1610" t="str">
        <x:v>无</x:v>
      </x:c>
      <x:c r="V69" s="1611" t="str">
        <x:v>本牌不得开启、延长或强化敌人/场景的写轮眼解析。阶段4角色自身红眼常驻属于形态表现，不代表本牌触发易伤解析。</x:v>
      </x:c>
      <x:c r="W69" s="1003" t="str">
        <x:v>合理性：每当卡牌被消耗就抽牌，符合咒印吞噬被献祭的忍术后返还新的战斗记忆。联动：是 Burning Pact、True Grit、Second Wind、Fiend Fire、Stoke 的核心引擎，并与 Feel No Pain 组成抽牌+格挡双收益。</x:v>
      </x:c>
      <x:c r="X69" s="1003" t="str">
        <x:v>强度定位：T3 高阶。稀有度=稀有，费用=2→1，效果核心为“每当一张牌被消耗，抽1张牌。”。稀有度、数值或联动价值较高；使用高阶草薙剑、千鸟变化、蛇术或强协同名称，但不占用最终变身/终结名。 因此采用“咒印·吞噬回流”，避免名称强度高于或低于卡牌实际表现。</x:v>
      </x:c>
      <x:c r="Y69" s="1002" t="str">
        <x:v>Cursed Seal of Heaven / 天の呪印</x:v>
      </x:c>
      <x:c r="Z69" s="1004" t="str">
        <x:v>原作状态/能力</x:v>
      </x:c>
      <x:c r="AA69" s="587" t="str">
        <x:v>面板名“咒印·吞噬回流”保留“天之咒印”的核心识别词或完整正式名。新增后缀仅用于反映卡牌机制与区分动作，不冒充新的官方招式。</x:v>
      </x:c>
      <x:c r="AB69" s="587" t="str">
        <x:v>https://naruto.fandom.com/wiki/Cursed_Seal_of_Heaven</x:v>
      </x:c>
      <x:c r="AC69" s="572" t="str">
        <x:v>否</x:v>
      </x:c>
      <x:c r="AD69" s="573" t="str">
        <x:v>—</x:v>
      </x:c>
      <x:c r="AE69" s="587" t="str">
        <x:v>研究用候选ID；待最新 public-beta 本地审计</x:v>
      </x:c>
      <x:c r="AF69" s="573" t="str">
        <x:v>https://slaythespire.wiki.gg/wiki/Module%3ACards/StS2_data/Ironclad</x:v>
      </x:c>
      <x:c r="AG69" s="1563"/>
      <x:c r="AH69" s="573" t="str">
        <x:v>https://slaythespire.wiki.gg/wiki/Module%3ACards/StS2_data/Ironclad</x:v>
      </x:c>
      <x:c r="AI69" s="1292"/>
    </x:row>
    <x:row r="70" ht="106" customHeight="1">
      <x:c r="A70" s="1562" t="n">
        <x:v>66</x:v>
      </x:c>
      <x:c r="B70" s="572" t="str">
        <x:v>战士普通卡</x:v>
      </x:c>
      <x:c r="C70" s="573" t="str">
        <x:v>恶魔形态</x:v>
      </x:c>
      <x:c r="D70" s="572" t="str">
        <x:v>DemonForm</x:v>
      </x:c>
      <x:c r="E70" s="573" t="str">
        <x:v>Demon Form</x:v>
      </x:c>
      <x:c r="F70" s="572" t="str">
        <x:v>稀有</x:v>
      </x:c>
      <x:c r="G70" s="572" t="str">
        <x:v>3</x:v>
      </x:c>
      <x:c r="H70" s="572" t="str">
        <x:v>能力</x:v>
      </x:c>
      <x:c r="I70" s="573" t="str">
        <x:v>每回合开始获得3点力量。</x:v>
      </x:c>
      <x:c r="J70" s="573" t="str">
        <x:v>每回合开始获得4点力量。</x:v>
      </x:c>
      <x:c r="K70" s="573" t="str">
        <x:v>能力；持续力量；持久形态转化</x:v>
      </x:c>
      <x:c r="L70" s="573" t="str">
        <x:v>卡池=战士普通卡；类型=能力；稀有度=稀有；费用=3；目标=自身；基础效果=每回合开始获得3点力量。；升级效果=每回合开始获得4点力量。；关键词=能力；持续力量；持久形态转化</x:v>
      </x:c>
      <x:c r="M70" s="572" t="n">
        <x:v>0</x:v>
      </x:c>
      <x:c r="N70" s="573" t="str">
        <x:v>0（未发现开服后官方稀有度变更记录）</x:v>
      </x:c>
      <x:c r="O70" s="1597" t="str">
        <x:v>天之咒印·状态二</x:v>
      </x:c>
      <x:c r="P70" s="1602" t="str">
        <x:v>天之咒印·状态二</x:v>
      </x:c>
      <x:c r="Q70" s="1603" t="str">
        <x:v>正式招式名原样采用</x:v>
      </x:c>
      <x:c r="R70" s="1604" t="str">
        <x:v>核心目录</x:v>
      </x:c>
      <x:c r="S70" s="1134" t="str">
        <x:v>T5 变身/终极</x:v>
      </x:c>
      <x:c r="T70" s="784" t="str">
        <x:v>咒印二完整形态，包含双翼、飞行、翼防御和黑色千鸟表现。</x:v>
      </x:c>
      <x:c r="U70" s="1610" t="str">
        <x:v>无</x:v>
      </x:c>
      <x:c r="V70" s="1611" t="str">
        <x:v>本牌不得开启、延长或强化敌人/场景的写轮眼解析。阶段4角色自身红眼常驻属于形态表现，不代表本牌触发易伤解析。</x:v>
      </x:c>
      <x:c r="W70" s="1003" t="str">
        <x:v>合理性：持续每回合获得力量，与天之咒印·状态二阶段不断释放身体潜力完全一致，应承担完整持久变身而非普通强化。联动：从3A/3B进入4A/4B；Fiend Fire、Tear Asunder、Midnight 在其生效时不再回退阶段，所有力量倍率牌与多段攻击持续受益。</x:v>
      </x:c>
      <x:c r="X70" s="1003" t="str">
        <x:v>强度定位：T5 变身/终极。稀有度=稀有，费用=3，效果核心为“每回合开始获得3点力量。”。直接形态转换或全体系最高终结；只保留天之咒印第二状态、羽击千鸟、麒麟等最高级名称。 因此采用“天之咒印·状态二”，避免名称强度高于或低于卡牌实际表现。</x:v>
      </x:c>
      <x:c r="Y70" s="1002" t="str">
        <x:v>Cursed Seal of Heaven — Level 2 / 天の呪印・状態2</x:v>
      </x:c>
      <x:c r="Z70" s="1004" t="str">
        <x:v>原作状态、究极风暴、火影忍者手游</x:v>
      </x:c>
      <x:c r="AA70" s="587" t="str">
        <x:v>面板名“天之咒印·状态二”保留“天之咒印·状态二”的核心识别词或完整正式名。新增后缀仅用于反映卡牌机制与区分动作，不冒充新的官方招式。</x:v>
      </x:c>
      <x:c r="AB70" s="587" t="str">
        <x:v>https://naruto.fandom.com/wiki/Cursed_Seal_of_Heaven</x:v>
      </x:c>
      <x:c r="AC70" s="572" t="str">
        <x:v>是（持久）</x:v>
      </x:c>
      <x:c r="AD70" s="573" t="str">
        <x:v>3A→4A；3B→4B；若已在4则维持4；形态来源移除后4A→3A、4B→3B；战斗结束保持至下一场重置</x:v>
      </x:c>
      <x:c r="AE70" s="587" t="str">
        <x:v>研究用候选ID；待最新 public-beta 本地审计</x:v>
      </x:c>
      <x:c r="AF70" s="573" t="str">
        <x:v>https://slaythespire.wiki.gg/wiki/Module%3ACards/StS2_data/Ironclad | https://slaythespire.wiki.gg/wiki/Slay_the_Spire_2%3AV0.109.0_-_Beta_Patch</x:v>
      </x:c>
      <x:c r="AG70" s="1563"/>
      <x:c r="AH70" s="573" t="str">
        <x:v>https://slaythespire.wiki.gg/wiki/Module%3ACards/StS2_data/Ironclad | https://slaythespire.wiki.gg/wiki/Slay_the_Spire_2%3AV0.109.0_-_Beta_Patch</x:v>
      </x:c>
      <x:c r="AI70" s="1292"/>
    </x:row>
    <x:row r="71" ht="106" customHeight="1">
      <x:c r="A71" s="1562" t="n">
        <x:v>67</x:v>
      </x:c>
      <x:c r="B71" s="572" t="str">
        <x:v>战士普通卡</x:v>
      </x:c>
      <x:c r="C71" s="573" t="str">
        <x:v>支配</x:v>
      </x:c>
      <x:c r="D71" s="572" t="str">
        <x:v>Dominate</x:v>
      </x:c>
      <x:c r="E71" s="573" t="str">
        <x:v>Dominate</x:v>
      </x:c>
      <x:c r="F71" s="572" t="str">
        <x:v>稀有</x:v>
      </x:c>
      <x:c r="G71" s="572" t="str">
        <x:v>1</x:v>
      </x:c>
      <x:c r="H71" s="572" t="str">
        <x:v>技能</x:v>
      </x:c>
      <x:c r="I71" s="573" t="str">
        <x:v>施加1层易伤；目标每有1层易伤，获得1点力量；消耗。</x:v>
      </x:c>
      <x:c r="J71" s="573" t="str">
        <x:v>施加2层易伤；目标每有1层易伤，获得1点力量；消耗。</x:v>
      </x:c>
      <x:c r="K71" s="573" t="str">
        <x:v>易伤；力量；消耗；写轮眼关联</x:v>
      </x:c>
      <x:c r="L71" s="573" t="str">
        <x:v>卡池=战士普通卡；类型=技能；稀有度=稀有；费用=1；目标=单体敌人/自身；基础效果=施加1层易伤；目标每有1层易伤，获得1点力量；消耗。；升级效果=施加2层易伤；目标每有1层易伤，获得1点力量；消耗。；关键词=易伤；力量；消耗；写轮眼关联</x:v>
      </x:c>
      <x:c r="M71" s="572" t="n">
        <x:v>1</x:v>
      </x:c>
      <x:c r="N71" s="573" t="str">
        <x:v>1次：v0.109.0，罕见→稀有</x:v>
      </x:c>
      <x:c r="O71" s="1597" t="str">
        <x:v>写轮眼·支配破绽</x:v>
      </x:c>
      <x:c r="P71" s="1602" t="str">
        <x:v>写轮眼</x:v>
      </x:c>
      <x:c r="Q71" s="1603" t="str">
        <x:v>原著识别型项目命名（基于“写轮眼”）</x:v>
      </x:c>
      <x:c r="R71" s="1604" t="str">
        <x:v>核心目录</x:v>
      </x:c>
      <x:c r="S71" s="1134" t="str">
        <x:v>T4 决战</x:v>
      </x:c>
      <x:c r="T71" s="784" t="str">
        <x:v>白衣/Hebi与兄弟之战中实际开启，用于观察、预判和幻术。</x:v>
      </x:c>
      <x:c r="U71" s="1610" t="str">
        <x:v>施加并利用易伤｜开启并结算</x:v>
      </x:c>
      <x:c r="V71" s="1611" t="str">
        <x:v>先在易伤生效时开启目标解析，再按目标当前易伤层数将弱点信息转化为力量表现；无易伤层数时不得显示多重弱点。</x:v>
      </x:c>
      <x:c r="W71" s="1003" t="str">
        <x:v>合理性：先施加易伤，再按目标易伤层数获得力量，适合写轮眼把已解析的破绽转化为佐助自身的进攻优势。联动：与 Bash、Taunt、Thunderclap、Tremble、Uppercut 叠加易伤，随后强化 Bully、Dismantle、Whirlwind 和阶段4终结牌。</x:v>
      </x:c>
      <x:c r="X71" s="1003" t="str">
        <x:v>强度定位：T4 决战。稀有度=稀有，费用=1，效果核心为“施加1层易伤；目标每有1层易伤，获得1点力量；消耗。”。高费用、高条件、高额数值或回合核心；可使用豪龙火、咒印二防御、禁忌解放等决战级名称。 因此采用“写轮眼·支配破绽”，避免名称强度高于或低于卡牌实际表现。</x:v>
      </x:c>
      <x:c r="Y71" s="1002" t="str">
        <x:v>Sharingan / 写輪眼</x:v>
      </x:c>
      <x:c r="Z71" s="1004" t="str">
        <x:v>原作漫画、动画、资料书</x:v>
      </x:c>
      <x:c r="AA71" s="587" t="str">
        <x:v>面板名“写轮眼·支配破绽”保留“写轮眼”的核心识别词或完整正式名。新增后缀仅用于反映卡牌机制与区分动作，不冒充新的官方招式。</x:v>
      </x:c>
      <x:c r="AB71" s="587" t="str">
        <x:v>https://naruto.fandom.com/wiki/Sasuke_Uchiha</x:v>
      </x:c>
      <x:c r="AC71" s="572" t="str">
        <x:v>否</x:v>
      </x:c>
      <x:c r="AD71" s="573" t="str">
        <x:v>—</x:v>
      </x:c>
      <x:c r="AE71" s="587" t="str">
        <x:v>研究用候选ID；待最新 public-beta 本地审计</x:v>
      </x:c>
      <x:c r="AF71" s="573" t="str">
        <x:v>https://slaythespire.wiki.gg/wiki/Module%3ACards/StS2_data/Ironclad | https://slaythespire.wiki.gg/wiki/Slay_the_Spire_2%3AV0.109.0_-_Beta_Patch</x:v>
      </x:c>
      <x:c r="AG71" s="1563" t="str">
        <x:v>https://slaythespire.wiki.gg/wiki/Slay_the_Spire_2%3AV0.109.0_-_Beta_Patch</x:v>
      </x:c>
      <x:c r="AH71" s="573" t="str">
        <x:v>https://slaythespire.wiki.gg/wiki/Module%3ACards/StS2_data/Ironclad | https://slaythespire.wiki.gg/wiki/Slay_the_Spire_2%3AV0.109.0_-_Beta_Patch</x:v>
      </x:c>
      <x:c r="AI71" s="1292" t="str">
        <x:v>https://slaythespire.wiki.gg/wiki/Slay_the_Spire_2%3AV0.109.0_-_Beta_Patch</x:v>
      </x:c>
    </x:row>
    <x:row r="72" ht="106" customHeight="1">
      <x:c r="A72" s="1562" t="n">
        <x:v>68</x:v>
      </x:c>
      <x:c r="B72" s="572" t="str">
        <x:v>战士普通卡</x:v>
      </x:c>
      <x:c r="C72" s="573" t="str">
        <x:v>捕食</x:v>
      </x:c>
      <x:c r="D72" s="572" t="str">
        <x:v>Feed</x:v>
      </x:c>
      <x:c r="E72" s="573" t="str">
        <x:v>Feed</x:v>
      </x:c>
      <x:c r="F72" s="572" t="str">
        <x:v>稀有</x:v>
      </x:c>
      <x:c r="G72" s="572" t="str">
        <x:v>1</x:v>
      </x:c>
      <x:c r="H72" s="572" t="str">
        <x:v>攻击</x:v>
      </x:c>
      <x:c r="I72" s="573" t="str">
        <x:v>造成10点伤害；若造成致命一击，最大生命提高3；消耗。</x:v>
      </x:c>
      <x:c r="J72" s="573" t="str">
        <x:v>造成12点伤害；致命时最大生命提高4；消耗。</x:v>
      </x:c>
      <x:c r="K72" s="573" t="str">
        <x:v>致命；最大生命；消耗</x:v>
      </x:c>
      <x:c r="L72" s="573" t="str">
        <x:v>卡池=战士普通卡；类型=攻击；稀有度=稀有；费用=1；目标=单体敌人；基础效果=造成10点伤害；若造成致命一击，最大生命提高3；消耗。；升级效果=造成12点伤害；致命时最大生命提高4；消耗。；关键词=致命；最大生命；消耗</x:v>
      </x:c>
      <x:c r="M72" s="572" t="n">
        <x:v>0</x:v>
      </x:c>
      <x:c r="N72" s="573" t="str">
        <x:v>0（未发现开服后官方稀有度变更记录）</x:v>
      </x:c>
      <x:c r="O72" s="1597" t="str">
        <x:v>万蛇·吞噬</x:v>
      </x:c>
      <x:c r="P72" s="1602" t="str">
        <x:v>通灵之术（万蛇）</x:v>
      </x:c>
      <x:c r="Q72" s="1603" t="str">
        <x:v>原著识别型项目命名（基于“通灵之术（万蛇）”）</x:v>
      </x:c>
      <x:c r="R72" s="1604" t="str">
        <x:v>补回目录</x:v>
      </x:c>
      <x:c r="S72" s="1134" t="str">
        <x:v>T3 高阶</x:v>
      </x:c>
      <x:c r="T72" s="784" t="str">
        <x:v>白衣/Hebi对迪达拉战末尾实际召唤万蛇抵挡C0爆炸并逃生。</x:v>
      </x:c>
      <x:c r="U72" s="1610" t="str">
        <x:v>无</x:v>
      </x:c>
      <x:c r="V72" s="1611" t="str">
        <x:v>本牌不得开启、延长或强化敌人/场景的写轮眼解析。阶段4角色自身红眼常驻属于形态表现，不代表本牌触发易伤解析。</x:v>
      </x:c>
      <x:c r="W72" s="1003" t="str">
        <x:v>合理性：致命一击提高最大生命，适合白万蛇·吞噬噬目标残余生命力并强化宿主身体。联动：Bash、Uppercut、Cruelty、Dominate 可帮助稳定斩杀；Headbutt/Aggression 可回收此牌寻找下一次致命机会。</x:v>
      </x:c>
      <x:c r="X72" s="1003" t="str">
        <x:v>强度定位：T3 高阶。稀有度=稀有，费用=1，效果核心为“造成10点伤害；若造成致命一击，最大生命提高3；消耗。”。稀有度、数值或联动价值较高；使用高阶草薙剑、千鸟变化、蛇术或强协同名称，但不占用最终变身/终结名。 因此采用“万蛇·吞噬”，避免名称强度高于或低于卡牌实际表现。</x:v>
      </x:c>
      <x:c r="Y72" s="1002" t="str">
        <x:v>Summoning Technique — Manda / 口寄せの術・マンダ</x:v>
      </x:c>
      <x:c r="Z72" s="1004" t="str">
        <x:v>原作漫画、动画</x:v>
      </x:c>
      <x:c r="AA72" s="587" t="str">
        <x:v>面板名“万蛇·吞噬”保留“通灵之术（万蛇）”的核心识别词或完整正式名。新增后缀仅用于反映卡牌机制与区分动作，不冒充新的官方招式。</x:v>
      </x:c>
      <x:c r="AB72" s="587" t="str">
        <x:v>https://naruto.fandom.com/wiki/Manda</x:v>
      </x:c>
      <x:c r="AC72" s="572" t="str">
        <x:v>否</x:v>
      </x:c>
      <x:c r="AD72" s="573" t="str">
        <x:v>—</x:v>
      </x:c>
      <x:c r="AE72" s="587" t="str">
        <x:v>研究用候选ID；待最新 public-beta 本地审计</x:v>
      </x:c>
      <x:c r="AF72" s="573" t="str">
        <x:v>https://slaythespire.wiki.gg/wiki/Module%3ACards/StS2_data/Ironclad</x:v>
      </x:c>
      <x:c r="AG72" s="1563"/>
      <x:c r="AH72" s="573" t="str">
        <x:v>https://slaythespire.wiki.gg/wiki/Module%3ACards/StS2_data/Ironclad</x:v>
      </x:c>
      <x:c r="AI72" s="1292"/>
    </x:row>
    <x:row r="73" ht="106" customHeight="1">
      <x:c r="A73" s="1562" t="n">
        <x:v>69</x:v>
      </x:c>
      <x:c r="B73" s="572" t="str">
        <x:v>战士普通卡</x:v>
      </x:c>
      <x:c r="C73" s="573" t="str">
        <x:v>恶魔之焰</x:v>
      </x:c>
      <x:c r="D73" s="572" t="str">
        <x:v>FiendFire</x:v>
      </x:c>
      <x:c r="E73" s="573" t="str">
        <x:v>Fiend Fire</x:v>
      </x:c>
      <x:c r="F73" s="572" t="str">
        <x:v>稀有</x:v>
      </x:c>
      <x:c r="G73" s="572" t="str">
        <x:v>2</x:v>
      </x:c>
      <x:c r="H73" s="572" t="str">
        <x:v>攻击</x:v>
      </x:c>
      <x:c r="I73" s="573" t="str">
        <x:v>消耗手牌；每成功消耗1张牌，造成7点伤害。</x:v>
      </x:c>
      <x:c r="J73" s="573" t="str">
        <x:v>每张造成10点伤害。</x:v>
      </x:c>
      <x:c r="K73" s="573" t="str">
        <x:v>批量消耗；动态多段；临时形态转化</x:v>
      </x:c>
      <x:c r="L73" s="573" t="str">
        <x:v>卡池=战士普通卡；类型=攻击；稀有度=稀有；费用=2；目标=单体敌人；基础效果=消耗手牌；每成功消耗1张牌，造成7点伤害。；升级效果=每张造成10点伤害。；关键词=批量消耗；动态多段；临时形态转化</x:v>
      </x:c>
      <x:c r="M73" s="572" t="n">
        <x:v>0</x:v>
      </x:c>
      <x:c r="N73" s="573" t="str">
        <x:v>0（未发现开服后官方稀有度变更记录）</x:v>
      </x:c>
      <x:c r="O73" s="1597" t="str">
        <x:v>豪龙火·咒印连弹</x:v>
      </x:c>
      <x:c r="P73" s="1602" t="str">
        <x:v>火遁·豪龙火之术</x:v>
      </x:c>
      <x:c r="Q73" s="1603" t="str">
        <x:v>原著识别型项目命名（基于“火遁·豪龙火之术”）</x:v>
      </x:c>
      <x:c r="R73" s="1604" t="str">
        <x:v>核心目录</x:v>
      </x:c>
      <x:c r="S73" s="1134" t="str">
        <x:v>T4 决战</x:v>
      </x:c>
      <x:c r="T73" s="784" t="str">
        <x:v>兄弟之战对鼬实际使用，并制造麒麟所需雷云。</x:v>
      </x:c>
      <x:c r="U73" s="1610" t="str">
        <x:v>无</x:v>
      </x:c>
      <x:c r="V73" s="1611" t="str">
        <x:v>本牌不得开启、延长或强化敌人/场景的写轮眼解析。阶段4角色自身红眼常驻属于形态表现，不代表本牌触发易伤解析。</x:v>
      </x:c>
      <x:c r="W73" s="1003" t="str">
        <x:v>合理性：消耗整手牌并按成功消耗数量多段攻击，最适合临时进入咒印二，把全部卡牌残影炼成逐段命中的龙形火焰。联动：从3A/3B临时进入4A/4B；与 Feel No Pain、Dark Embrace、Ashen Strike、Pact's End、Midnight 强联动，Demon Form 存在时动作后维持阶段4。</x:v>
      </x:c>
      <x:c r="X73" s="1003" t="str">
        <x:v>强度定位：T4 决战。稀有度=稀有，费用=2，效果核心为“消耗手牌；每成功消耗1张牌，造成7点伤害。”。高费用、高条件、高额数值或回合核心；可使用豪龙火、咒印二防御、禁忌解放等决战级名称。 因此采用“豪龙火·咒印连弹”，避免名称强度高于或低于卡牌实际表现。</x:v>
      </x:c>
      <x:c r="Y73" s="1002" t="str">
        <x:v>Fire Release: Great Dragon Fire Technique / 火遁・豪龍火の術</x:v>
      </x:c>
      <x:c r="Z73" s="1004" t="str">
        <x:v>原作漫画、动画、游戏</x:v>
      </x:c>
      <x:c r="AA73" s="587" t="str">
        <x:v>面板名“豪龙火·咒印连弹”保留“火遁·豪龙火之术”的核心识别词或完整正式名。新增后缀仅用于反映卡牌机制与区分动作，不冒充新的官方招式。</x:v>
      </x:c>
      <x:c r="AB73" s="587" t="str">
        <x:v>https://naruto.fandom.com/wiki/Sasuke_Uchiha</x:v>
      </x:c>
      <x:c r="AC73" s="572" t="str">
        <x:v>是（临时）</x:v>
      </x:c>
      <x:c r="AD73" s="573" t="str">
        <x:v>3A→临时4A→3A；3B→临时4B→3B；若已有Demon Form持久4，则动作结束后维持4</x:v>
      </x:c>
      <x:c r="AE73" s="587" t="str">
        <x:v>研究用候选ID；待最新 public-beta 本地审计</x:v>
      </x:c>
      <x:c r="AF73" s="573" t="str">
        <x:v>https://slaythespire.wiki.gg/wiki/Module%3ACards/StS2_data/Ironclad</x:v>
      </x:c>
      <x:c r="AG73" s="1563"/>
      <x:c r="AH73" s="573" t="str">
        <x:v>https://slaythespire.wiki.gg/wiki/Module%3ACards/StS2_data/Ironclad</x:v>
      </x:c>
      <x:c r="AI73" s="1292"/>
    </x:row>
    <x:row r="74" ht="106" customHeight="1">
      <x:c r="A74" s="1562" t="n">
        <x:v>70</x:v>
      </x:c>
      <x:c r="B74" s="572" t="str">
        <x:v>战士普通卡</x:v>
      </x:c>
      <x:c r="C74" s="573" t="str">
        <x:v>地狱使者</x:v>
      </x:c>
      <x:c r="D74" s="572" t="str">
        <x:v>Hellraiser</x:v>
      </x:c>
      <x:c r="E74" s="573" t="str">
        <x:v>Hellraiser</x:v>
      </x:c>
      <x:c r="F74" s="572" t="str">
        <x:v>稀有</x:v>
      </x:c>
      <x:c r="G74" s="572" t="str">
        <x:v>2→1</x:v>
      </x:c>
      <x:c r="H74" s="572" t="str">
        <x:v>能力</x:v>
      </x:c>
      <x:c r="I74" s="573" t="str">
        <x:v>每当抽到名称含“Strike”的牌，自动对随机敌人打出。</x:v>
      </x:c>
      <x:c r="J74" s="573" t="str">
        <x:v>费用降为1；效果不变。</x:v>
      </x:c>
      <x:c r="K74" s="573" t="str">
        <x:v>能力；打击体系；自动打出</x:v>
      </x:c>
      <x:c r="L74" s="573" t="str">
        <x:v>卡池=战士普通卡；类型=能力；稀有度=稀有；费用=2→1；目标=自身；基础效果=每当抽到名称含“Strike”的牌，自动对随机敌人打出。；升级效果=费用降为1；效果不变。；关键词=能力；打击体系；自动打出</x:v>
      </x:c>
      <x:c r="M74" s="572" t="n">
        <x:v>0</x:v>
      </x:c>
      <x:c r="N74" s="573" t="str">
        <x:v>0（未发现开服后官方稀有度变更记录）</x:v>
      </x:c>
      <x:c r="O74" s="1597" t="str">
        <x:v>草薙剑·千鸟刀·乱舞</x:v>
      </x:c>
      <x:c r="P74" s="1602" t="str">
        <x:v>草薙剑·千鸟刀</x:v>
      </x:c>
      <x:c r="Q74" s="1603" t="str">
        <x:v>原著识别型项目命名（基于“草薙剑·千鸟刀”）</x:v>
      </x:c>
      <x:c r="R74" s="1604" t="str">
        <x:v>核心目录</x:v>
      </x:c>
      <x:c r="S74" s="1134" t="str">
        <x:v>T3 高阶</x:v>
      </x:c>
      <x:c r="T74" s="784" t="str">
        <x:v>白衣/Hebi与兄弟之战实际使用的雷遁附剑体系。</x:v>
      </x:c>
      <x:c r="U74" s="1610" t="str">
        <x:v>无</x:v>
      </x:c>
      <x:c r="V74" s="1611" t="str">
        <x:v>本牌不得开启、延长或强化敌人/场景的写轮眼解析。阶段4角色自身红眼常驻属于形态表现，不代表本牌触发易伤解析。</x:v>
      </x:c>
      <x:c r="W74" s="1003" t="str">
        <x:v>合理性：抽到 Strike 名称牌便自动打出，可表现为所有基础剑术都被狱雷强化，拔刀瞬间自动化为连续雷斩。联动：直接连接 Strike、Pommel Strike、Setup Strike、Twin Strike、Perfected Strike，并与 Aggression、Armaments、Juggling 组成牌系。</x:v>
      </x:c>
      <x:c r="X74" s="1003" t="str">
        <x:v>强度定位：T3 高阶。稀有度=稀有，费用=2→1，效果核心为“每当抽到名称含“Strike”的牌，自动对随机敌人打出。”。稀有度、数值或联动价值较高；使用高阶草薙剑、千鸟变化、蛇术或强协同名称，但不占用最终变身/终结名。 因此采用“草薙剑·千鸟刀·乱舞”，避免名称强度高于或低于卡牌实际表现。</x:v>
      </x:c>
      <x:c r="Y74" s="1002" t="str">
        <x:v>Sword of Kusanagi: Chidori Katana / 草薙の剣・千鳥刀</x:v>
      </x:c>
      <x:c r="Z74" s="1004" t="str">
        <x:v>原作漫画、动画、资料书</x:v>
      </x:c>
      <x:c r="AA74" s="587" t="str">
        <x:v>面板名“草薙剑·千鸟刀·乱舞”保留“草薙剑·千鸟刀”的核心识别词或完整正式名。新增后缀仅用于反映卡牌机制与区分动作，不冒充新的官方招式。</x:v>
      </x:c>
      <x:c r="AB74" s="587" t="str">
        <x:v>https://naruto.fandom.com/wiki/Chidori_Current</x:v>
      </x:c>
      <x:c r="AC74" s="572" t="str">
        <x:v>否</x:v>
      </x:c>
      <x:c r="AD74" s="573" t="str">
        <x:v>—</x:v>
      </x:c>
      <x:c r="AE74" s="587" t="str">
        <x:v>研究用候选ID；待最新 public-beta 本地审计</x:v>
      </x:c>
      <x:c r="AF74" s="573" t="str">
        <x:v>https://slaythespire.wiki.gg/wiki/Module%3ACards/StS2_data/Ironclad</x:v>
      </x:c>
      <x:c r="AG74" s="1563"/>
      <x:c r="AH74" s="573" t="str">
        <x:v>https://slaythespire.wiki.gg/wiki/Module%3ACards/StS2_data/Ironclad</x:v>
      </x:c>
      <x:c r="AI74" s="1292"/>
    </x:row>
    <x:row r="75" ht="106" customHeight="1">
      <x:c r="A75" s="1562" t="n">
        <x:v>71</x:v>
      </x:c>
      <x:c r="B75" s="572" t="str">
        <x:v>战士普通卡</x:v>
      </x:c>
      <x:c r="C75" s="573" t="str">
        <x:v>岿然不动</x:v>
      </x:c>
      <x:c r="D75" s="572" t="str">
        <x:v>Impervious</x:v>
      </x:c>
      <x:c r="E75" s="573" t="str">
        <x:v>Impervious</x:v>
      </x:c>
      <x:c r="F75" s="572" t="str">
        <x:v>稀有</x:v>
      </x:c>
      <x:c r="G75" s="572" t="str">
        <x:v>2</x:v>
      </x:c>
      <x:c r="H75" s="572" t="str">
        <x:v>技能</x:v>
      </x:c>
      <x:c r="I75" s="573" t="str">
        <x:v>获得30点格挡；消耗。</x:v>
      </x:c>
      <x:c r="J75" s="573" t="str">
        <x:v>获得40点格挡；消耗。</x:v>
      </x:c>
      <x:c r="K75" s="573" t="str">
        <x:v>高额格挡；消耗</x:v>
      </x:c>
      <x:c r="L75" s="573" t="str">
        <x:v>卡池=战士普通卡；类型=技能；稀有度=稀有；费用=2；目标=自身；基础效果=获得30点格挡；消耗。；升级效果=获得40点格挡；消耗。；关键词=高额格挡；消耗</x:v>
      </x:c>
      <x:c r="M75" s="572" t="n">
        <x:v>0</x:v>
      </x:c>
      <x:c r="N75" s="573" t="str">
        <x:v>0（未发现开服后官方稀有度变更记录）</x:v>
      </x:c>
      <x:c r="O75" s="1597" t="str">
        <x:v>咒印二·双翼防御</x:v>
      </x:c>
      <x:c r="P75" s="1602" t="str">
        <x:v>天之咒印·状态二</x:v>
      </x:c>
      <x:c r="Q75" s="1603" t="str">
        <x:v>原著识别型项目命名（基于“天之咒印·状态二”）</x:v>
      </x:c>
      <x:c r="R75" s="1604" t="str">
        <x:v>核心目录</x:v>
      </x:c>
      <x:c r="S75" s="1134" t="str">
        <x:v>T4 决战</x:v>
      </x:c>
      <x:c r="T75" s="784" t="str">
        <x:v>咒印二完整形态，包含双翼、飞行、翼防御和黑色千鸟表现。</x:v>
      </x:c>
      <x:c r="U75" s="1610" t="str">
        <x:v>无</x:v>
      </x:c>
      <x:c r="V75" s="1611" t="str">
        <x:v>本牌不得开启、延长或强化敌人/场景的写轮眼解析。阶段4角色自身红眼常驻属于形态表现，不代表本牌触发易伤解析。</x:v>
      </x:c>
      <x:c r="W75" s="1003" t="str">
        <x:v>合理性：一次获得极高格挡并消耗，最适合咒印双翼完全闭合形成绝对防御，完成后翼阵查克拉散去。联动：高格挡供 Body Slam、Demonic Shield，触发 Juggernaut；自身消耗触发 Feel No Pain、Dark Embrace、Pact's End 和 Midnight。</x:v>
      </x:c>
      <x:c r="X75" s="1003" t="str">
        <x:v>强度定位：T4 决战。稀有度=稀有，费用=2，效果核心为“获得30点格挡；消耗。”。高费用、高条件、高额数值或回合核心；可使用豪龙火、咒印二防御、禁忌解放等决战级名称。 因此采用“咒印二·双翼防御”，避免名称强度高于或低于卡牌实际表现。</x:v>
      </x:c>
      <x:c r="Y75" s="1002" t="str">
        <x:v>Cursed Seal of Heaven — Level 2 / 天の呪印・状態2</x:v>
      </x:c>
      <x:c r="Z75" s="1004" t="str">
        <x:v>原作状态、究极风暴、火影忍者手游</x:v>
      </x:c>
      <x:c r="AA75" s="587" t="str">
        <x:v>面板名“咒印二·双翼防御”保留“天之咒印·状态二”的核心识别词或完整正式名。新增后缀仅用于反映卡牌机制与区分动作，不冒充新的官方招式。</x:v>
      </x:c>
      <x:c r="AB75" s="587" t="str">
        <x:v>https://naruto.fandom.com/wiki/Cursed_Seal_of_Heaven</x:v>
      </x:c>
      <x:c r="AC75" s="572" t="str">
        <x:v>否</x:v>
      </x:c>
      <x:c r="AD75" s="573" t="str">
        <x:v>—</x:v>
      </x:c>
      <x:c r="AE75" s="587" t="str">
        <x:v>研究用候选ID；待最新 public-beta 本地审计</x:v>
      </x:c>
      <x:c r="AF75" s="573" t="str">
        <x:v>https://slaythespire.wiki.gg/wiki/Module%3ACards/StS2_data/Ironclad</x:v>
      </x:c>
      <x:c r="AG75" s="1563"/>
      <x:c r="AH75" s="573" t="str">
        <x:v>https://slaythespire.wiki.gg/wiki/Module%3ACards/StS2_data/Ironclad</x:v>
      </x:c>
      <x:c r="AI75" s="1292"/>
    </x:row>
    <x:row r="76" ht="106" customHeight="1">
      <x:c r="A76" s="1562" t="n">
        <x:v>72</x:v>
      </x:c>
      <x:c r="B76" s="572" t="str">
        <x:v>战士普通卡</x:v>
      </x:c>
      <x:c r="C76" s="573" t="str">
        <x:v>势不可当</x:v>
      </x:c>
      <x:c r="D76" s="572" t="str">
        <x:v>Juggernaut</x:v>
      </x:c>
      <x:c r="E76" s="573" t="str">
        <x:v>Juggernaut</x:v>
      </x:c>
      <x:c r="F76" s="572" t="str">
        <x:v>稀有</x:v>
      </x:c>
      <x:c r="G76" s="572" t="str">
        <x:v>2</x:v>
      </x:c>
      <x:c r="H76" s="572" t="str">
        <x:v>能力</x:v>
      </x:c>
      <x:c r="I76" s="573" t="str">
        <x:v>每当获得格挡，对随机敌人造成6点伤害。</x:v>
      </x:c>
      <x:c r="J76" s="573" t="str">
        <x:v>每次造成8点伤害。</x:v>
      </x:c>
      <x:c r="K76" s="573" t="str">
        <x:v>能力；格挡触发；随机伤害</x:v>
      </x:c>
      <x:c r="L76" s="573" t="str">
        <x:v>卡池=战士普通卡；类型=能力；稀有度=稀有；费用=2；目标=自身/随机敌人；基础效果=每当获得格挡，对随机敌人造成6点伤害。；升级效果=每次造成8点伤害。；关键词=能力；格挡触发；随机伤害</x:v>
      </x:c>
      <x:c r="M76" s="572" t="n">
        <x:v>0</x:v>
      </x:c>
      <x:c r="N76" s="573" t="str">
        <x:v>0（未发现开服后官方稀有度变更记录）</x:v>
      </x:c>
      <x:c r="O76" s="1597" t="str">
        <x:v>千鸟流·雷铠反震</x:v>
      </x:c>
      <x:c r="P76" s="1602" t="str">
        <x:v>千鸟流</x:v>
      </x:c>
      <x:c r="Q76" s="1603" t="str">
        <x:v>原著识别型项目命名（基于“千鸟流”）</x:v>
      </x:c>
      <x:c r="R76" s="1604" t="str">
        <x:v>核心目录</x:v>
      </x:c>
      <x:c r="S76" s="1134" t="str">
        <x:v>T3 高阶</x:v>
      </x:c>
      <x:c r="T76" s="784" t="str">
        <x:v>白衣/Hebi代表性周身放电招式，兼具攻击与防御。</x:v>
      </x:c>
      <x:c r="U76" s="1610" t="str">
        <x:v>无</x:v>
      </x:c>
      <x:c r="V76" s="1611" t="str">
        <x:v>本牌不得开启、延长或强化敌人/场景的写轮眼解析。阶段4角色自身红眼常驻属于形态表现，不代表本牌触发易伤解析。</x:v>
      </x:c>
      <x:c r="W76" s="1003" t="str">
        <x:v>合理性：每次获得格挡都会反击，适合千鸟流千鸟流·雷铠反震在防御成形时自动向敌人释放电击。联动：几乎覆盖 Defend、Blood Wall、Flame Barrier、Stone Armor、Barricade、Impervious、Unmovable、Tank、Demonic Shield 等全防御体系。</x:v>
      </x:c>
      <x:c r="X76" s="1003" t="str">
        <x:v>强度定位：T3 高阶。稀有度=稀有，费用=2，效果核心为“每当获得格挡，对随机敌人造成6点伤害。”。稀有度、数值或联动价值较高；使用高阶草薙剑、千鸟变化、蛇术或强协同名称，但不占用最终变身/终结名。 因此采用“千鸟流·雷铠反震”，避免名称强度高于或低于卡牌实际表现。</x:v>
      </x:c>
      <x:c r="Y76" s="1002" t="str">
        <x:v>Chidori Current / 千鳥流し</x:v>
      </x:c>
      <x:c r="Z76" s="1004" t="str">
        <x:v>原作漫画、动画、资料书、究极风暴</x:v>
      </x:c>
      <x:c r="AA76" s="587" t="str">
        <x:v>面板名“千鸟流·雷铠反震”保留“千鸟流”的核心识别词或完整正式名。新增后缀仅用于反映卡牌机制与区分动作，不冒充新的官方招式。</x:v>
      </x:c>
      <x:c r="AB76" s="587" t="str">
        <x:v>https://naruto.fandom.com/wiki/Chidori_Current</x:v>
      </x:c>
      <x:c r="AC76" s="572" t="str">
        <x:v>否</x:v>
      </x:c>
      <x:c r="AD76" s="573" t="str">
        <x:v>—</x:v>
      </x:c>
      <x:c r="AE76" s="587" t="str">
        <x:v>研究用候选ID；待最新 public-beta 本地审计</x:v>
      </x:c>
      <x:c r="AF76" s="573" t="str">
        <x:v>https://slaythespire.wiki.gg/wiki/Module%3ACards/StS2_data/Ironclad | https://slaythespire.wiki.gg/wiki/Slay_the_Spire_2%3AV0.107.0_-_Beta_Patch</x:v>
      </x:c>
      <x:c r="AG76" s="1563"/>
      <x:c r="AH76" s="573" t="str">
        <x:v>https://slaythespire.wiki.gg/wiki/Module%3ACards/StS2_data/Ironclad | https://slaythespire.wiki.gg/wiki/Slay_the_Spire_2%3AV0.107.0_-_Beta_Patch</x:v>
      </x:c>
      <x:c r="AI76" s="1292"/>
    </x:row>
    <x:row r="77" ht="106" customHeight="1">
      <x:c r="A77" s="1562" t="n">
        <x:v>73</x:v>
      </x:c>
      <x:c r="B77" s="572" t="str">
        <x:v>战士普通卡</x:v>
      </x:c>
      <x:c r="C77" s="573" t="str">
        <x:v>重创</x:v>
      </x:c>
      <x:c r="D77" s="572" t="str">
        <x:v>Mangle</x:v>
      </x:c>
      <x:c r="E77" s="573" t="str">
        <x:v>Mangle</x:v>
      </x:c>
      <x:c r="F77" s="572" t="str">
        <x:v>稀有</x:v>
      </x:c>
      <x:c r="G77" s="572" t="str">
        <x:v>3</x:v>
      </x:c>
      <x:c r="H77" s="572" t="str">
        <x:v>攻击</x:v>
      </x:c>
      <x:c r="I77" s="573" t="str">
        <x:v>造成15点伤害；目标本回合失去10点力量。</x:v>
      </x:c>
      <x:c r="J77" s="573" t="str">
        <x:v>造成20点伤害；目标本回合失去15点力量。</x:v>
      </x:c>
      <x:c r="K77" s="573" t="str">
        <x:v>伤害；力量下降；写轮眼关联</x:v>
      </x:c>
      <x:c r="L77" s="573" t="str">
        <x:v>卡池=战士普通卡；类型=攻击；稀有度=稀有；费用=3；目标=单体敌人；基础效果=造成15点伤害；目标本回合失去10点力量。；升级效果=造成20点伤害；目标本回合失去15点力量。；关键词=伤害；力量下降；写轮眼关联</x:v>
      </x:c>
      <x:c r="M77" s="572" t="n">
        <x:v>0</x:v>
      </x:c>
      <x:c r="N77" s="573" t="str">
        <x:v>0（未发现开服后官方稀有度变更记录）</x:v>
      </x:c>
      <x:c r="O77" s="1597" t="str">
        <x:v>千鸟·查克拉刀</x:v>
      </x:c>
      <x:c r="P77" s="1602" t="str">
        <x:v>千鸟·查克拉刀</x:v>
      </x:c>
      <x:c r="Q77" s="1603" t="str">
        <x:v>正式招式名原样采用</x:v>
      </x:c>
      <x:c r="R77" s="1604" t="str">
        <x:v>重点补回</x:v>
      </x:c>
      <x:c r="S77" s="1134" t="str">
        <x:v>T3 高阶</x:v>
      </x:c>
      <x:c r="T77" s="784" t="str">
        <x:v>《究极风暴》咒印二佐助的体术、剑术与千鸟锐枪组合动作。</x:v>
      </x:c>
      <x:c r="U77" s="1610" t="str">
        <x:v>无</x:v>
      </x:c>
      <x:c r="V77" s="1611" t="str">
        <x:v>本牌不得开启、延长或强化敌人/场景的写轮眼解析。阶段4角色自身红眼常驻属于形态表现，不代表本牌触发易伤解析。</x:v>
      </x:c>
      <x:c r="W77" s="1003" t="str">
        <x:v>合理性：造成伤害并使目标本回合大幅失去力量，适合草薙剑精准切断肩、肘、腕等发力链。联动：可与 Colossus、Tank 的承伤控制配合，并为后续安全输出创造窗口；本牌不属于易伤体系。</x:v>
      </x:c>
      <x:c r="X77" s="1003" t="str">
        <x:v>强度定位：T3 高阶。稀有度=稀有，费用=3，效果核心为“造成15点伤害；目标本回合失去10点力量。”。稀有度、数值或联动价值较高；使用高阶草薙剑、千鸟变化、蛇术或强协同名称，但不占用最终变身/终结名。 因此采用“千鸟·查克拉刀”，避免名称强度高于或低于卡牌实际表现。</x:v>
      </x:c>
      <x:c r="Y77" s="1002" t="str">
        <x:v>Chidori: Chakra Blade / 千鳥・チャクラ刀</x:v>
      </x:c>
      <x:c r="Z77" s="1004" t="str">
        <x:v>究极风暴咒印二正式招式</x:v>
      </x:c>
      <x:c r="AA77" s="587" t="str">
        <x:v>面板名“千鸟·查克拉刀”保留“千鸟·查克拉刀”的核心识别词或完整正式名。新增后缀仅用于反映卡牌机制与区分动作，不冒充新的官方招式。</x:v>
      </x:c>
      <x:c r="AB77" s="587" t="str">
        <x:v>https://naruto.fandom.com/wiki/Chidori%3A_Chakra_Blade</x:v>
      </x:c>
      <x:c r="AC77" s="572" t="str">
        <x:v>否</x:v>
      </x:c>
      <x:c r="AD77" s="573" t="str">
        <x:v>—</x:v>
      </x:c>
      <x:c r="AE77" s="587" t="str">
        <x:v>研究用候选ID；待最新 public-beta 本地审计</x:v>
      </x:c>
      <x:c r="AF77" s="573" t="str">
        <x:v>https://slaythespire.wiki.gg/wiki/Module%3ACards/StS2_data/Ironclad</x:v>
      </x:c>
      <x:c r="AG77" s="1563"/>
      <x:c r="AH77" s="573" t="str">
        <x:v>https://slaythespire.wiki.gg/wiki/Module%3ACards/StS2_data/Ironclad</x:v>
      </x:c>
      <x:c r="AI77" s="1292"/>
    </x:row>
    <x:row r="78" ht="106" customHeight="1">
      <x:c r="A78" s="1562" t="n">
        <x:v>74</x:v>
      </x:c>
      <x:c r="B78" s="572" t="str">
        <x:v>战士普通卡</x:v>
      </x:c>
      <x:c r="C78" s="573" t="str">
        <x:v>还没完</x:v>
      </x:c>
      <x:c r="D78" s="572" t="str">
        <x:v>NotYet</x:v>
      </x:c>
      <x:c r="E78" s="573" t="str">
        <x:v>Not Yet</x:v>
      </x:c>
      <x:c r="F78" s="572" t="str">
        <x:v>稀有</x:v>
      </x:c>
      <x:c r="G78" s="572" t="str">
        <x:v>2</x:v>
      </x:c>
      <x:c r="H78" s="572" t="str">
        <x:v>技能</x:v>
      </x:c>
      <x:c r="I78" s="573" t="str">
        <x:v>回复10点生命；消耗。</x:v>
      </x:c>
      <x:c r="J78" s="573" t="str">
        <x:v>回复13点生命；消耗。</x:v>
      </x:c>
      <x:c r="K78" s="573" t="str">
        <x:v>治疗；消耗</x:v>
      </x:c>
      <x:c r="L78" s="573" t="str">
        <x:v>卡池=战士普通卡；类型=技能；稀有度=稀有；费用=2；目标=自身；基础效果=回复10点生命；消耗。；升级效果=回复13点生命；消耗。；关键词=治疗；消耗</x:v>
      </x:c>
      <x:c r="M78" s="572" t="n">
        <x:v>0</x:v>
      </x:c>
      <x:c r="N78" s="573" t="str">
        <x:v>0（未发现开服后官方稀有度变更记录）</x:v>
      </x:c>
      <x:c r="O78" s="1597" t="str">
        <x:v>白蛇之力</x:v>
      </x:c>
      <x:c r="P78" s="1602" t="str">
        <x:v>白蛇之力</x:v>
      </x:c>
      <x:c r="Q78" s="1603" t="str">
        <x:v>正式能力名原样采用</x:v>
      </x:c>
      <x:c r="R78" s="1604" t="str">
        <x:v>本次Web补回</x:v>
      </x:c>
      <x:c r="S78" s="1134" t="str">
        <x:v>T3 高阶</x:v>
      </x:c>
      <x:c r="T78" s="784" t="str">
        <x:v>吸收大蛇丸后，佐助在白衣/Hebi与兄弟之战期间暂时获得白蛇之力，表现为加速恢复，并在兄弟之战中通过蜕皮逃离天照。</x:v>
      </x:c>
      <x:c r="U78" s="1610" t="str">
        <x:v>无</x:v>
      </x:c>
      <x:c r="V78" s="1611" t="str">
        <x:v>本牌不得开启、延长或强化敌人/场景的写轮眼解析。阶段4角色自身红眼常驻属于形态表现，不代表本牌触发易伤解析。</x:v>
      </x:c>
      <x:c r="W78" s="1003" t="str">
        <x:v>合理性：直接回复生命并消耗，与佐助吸收大蛇丸后获得的“白蛇之力”恢复能力完全对应。联动：缓解 Bloodletting、Offering、Inferno 等自损体系的生命压力；按照当前形态规则，治疗不会撤销本场已经锁定的3B/4B战损外观。</x:v>
      </x:c>
      <x:c r="X78" s="1003" t="str">
        <x:v>强度定位：T3 高阶。稀有度=稀有，费用=2，效果核心为“回复10点生命；消耗。”。稀有度、数值或联动价值较高；使用高阶草薙剑、千鸟变化、蛇术或强协同名称，但不占用最终变身/终结名。 因此采用“白蛇之力”，避免名称强度高于或低于卡牌实际表现。</x:v>
      </x:c>
      <x:c r="Y78" s="1002" t="str">
        <x:v>Power of the White Snake / 白蛇の力</x:v>
      </x:c>
      <x:c r="Z78" s="1004" t="str">
        <x:v>原作漫画、动画、资料设定；真实能力</x:v>
      </x:c>
      <x:c r="AA78" s="587" t="str">
        <x:v>正式能力名称原样使用。它不是单独攻击忍术，但属于佐助在限定时期真实拥有并实际表现过的能力，因此纳入“真实招式/能力目录”。</x:v>
      </x:c>
      <x:c r="AB78" s="587" t="str">
        <x:v>https://naruto.fandom.com/wiki/Power_of_the_White_Snake</x:v>
      </x:c>
      <x:c r="AC78" s="572" t="str">
        <x:v>否</x:v>
      </x:c>
      <x:c r="AD78" s="573" t="str">
        <x:v>—</x:v>
      </x:c>
      <x:c r="AE78" s="587" t="str">
        <x:v>研究用候选ID；待最新 public-beta 本地审计</x:v>
      </x:c>
      <x:c r="AF78" s="573" t="str">
        <x:v>https://slaythespire.wiki.gg/wiki/Module%3ACards/StS2_data/Ironclad</x:v>
      </x:c>
      <x:c r="AG78" s="1563"/>
      <x:c r="AH78" s="573" t="str">
        <x:v>https://slaythespire.wiki.gg/wiki/Module%3ACards/StS2_data/Ironclad</x:v>
      </x:c>
      <x:c r="AI78" s="1292"/>
    </x:row>
    <x:row r="79" ht="106" customHeight="1">
      <x:c r="A79" s="1562" t="n">
        <x:v>75</x:v>
      </x:c>
      <x:c r="B79" s="572" t="str">
        <x:v>战士普通卡</x:v>
      </x:c>
      <x:c r="C79" s="573" t="str">
        <x:v>祭品</x:v>
      </x:c>
      <x:c r="D79" s="572" t="str">
        <x:v>Offering</x:v>
      </x:c>
      <x:c r="E79" s="573" t="str">
        <x:v>Offering</x:v>
      </x:c>
      <x:c r="F79" s="572" t="str">
        <x:v>稀有</x:v>
      </x:c>
      <x:c r="G79" s="572" t="str">
        <x:v>0</x:v>
      </x:c>
      <x:c r="H79" s="572" t="str">
        <x:v>技能</x:v>
      </x:c>
      <x:c r="I79" s="573" t="str">
        <x:v>失去6点生命；获得2点能量；抽3张牌；消耗。</x:v>
      </x:c>
      <x:c r="J79" s="573" t="str">
        <x:v>失去6点生命；获得2点能量；抽5张牌；消耗。</x:v>
      </x:c>
      <x:c r="K79" s="573" t="str">
        <x:v>自损；能量；抽牌；消耗；战损阈值</x:v>
      </x:c>
      <x:c r="L79" s="573" t="str">
        <x:v>卡池=战士普通卡；类型=技能；稀有度=稀有；费用=0；目标=自身；基础效果=失去6点生命；获得2点能量；抽3张牌；消耗。；升级效果=失去6点生命；获得2点能量；抽5张牌；消耗。；关键词=自损；能量；抽牌；消耗；战损阈值</x:v>
      </x:c>
      <x:c r="M79" s="572" t="n">
        <x:v>0</x:v>
      </x:c>
      <x:c r="N79" s="573" t="str">
        <x:v>0（未发现开服后官方稀有度变更记录）</x:v>
      </x:c>
      <x:c r="O79" s="1597" t="str">
        <x:v>咒印·禁忌解放</x:v>
      </x:c>
      <x:c r="P79" s="1602" t="str">
        <x:v>天之咒印</x:v>
      </x:c>
      <x:c r="Q79" s="1603" t="str">
        <x:v>原著识别型项目命名（基于“天之咒印”）</x:v>
      </x:c>
      <x:c r="R79" s="1604" t="str">
        <x:v>核心目录</x:v>
      </x:c>
      <x:c r="S79" s="1134" t="str">
        <x:v>T4 决战</x:v>
      </x:c>
      <x:c r="T79" s="784" t="str">
        <x:v>白衣/Hebi对大蛇丸、迪达拉及鼬的战斗中实际激活。</x:v>
      </x:c>
      <x:c r="U79" s="1610" t="str">
        <x:v>无</x:v>
      </x:c>
      <x:c r="V79" s="1611" t="str">
        <x:v>本牌不得开启、延长或强化敌人/场景的写轮眼解析。阶段4角色自身红眼常驻属于形态表现，不代表本牌触发易伤解析。</x:v>
      </x:c>
      <x:c r="W79" s="1003" t="str">
        <x:v>合理性：以大量生命换取能量与抽牌并消耗，是典型的咒印咒印·禁忌解放——短时间获得远超常态的查克拉和行动选择。联动：同时启动 Rupture、Spite、Inferno、Tear Asunder、Feel No Pain、Dark Embrace，并为 Demon Form、Whirlwind、Fiend Fire 供能。</x:v>
      </x:c>
      <x:c r="X79" s="1003" t="str">
        <x:v>强度定位：T4 决战。稀有度=稀有，费用=0，效果核心为“失去6点生命；获得2点能量；抽3张牌；消耗。”。高费用、高条件、高额数值或回合核心；可使用豪龙火、咒印二防御、禁忌解放等决战级名称。 因此采用“咒印·禁忌解放”，避免名称强度高于或低于卡牌实际表现。</x:v>
      </x:c>
      <x:c r="Y79" s="1002" t="str">
        <x:v>Cursed Seal of Heaven / 天の呪印</x:v>
      </x:c>
      <x:c r="Z79" s="1004" t="str">
        <x:v>原作状态/能力</x:v>
      </x:c>
      <x:c r="AA79" s="587" t="str">
        <x:v>面板名“咒印·禁忌解放”保留“天之咒印”的核心识别词或完整正式名。新增后缀仅用于反映卡牌机制与区分动作，不冒充新的官方招式。</x:v>
      </x:c>
      <x:c r="AB79" s="587" t="str">
        <x:v>https://naruto.fandom.com/wiki/Cursed_Seal_of_Heaven</x:v>
      </x:c>
      <x:c r="AC79" s="572" t="str">
        <x:v>否</x:v>
      </x:c>
      <x:c r="AD79" s="573" t="str">
        <x:v>—</x:v>
      </x:c>
      <x:c r="AE79" s="587" t="str">
        <x:v>研究用候选ID；待最新 public-beta 本地审计</x:v>
      </x:c>
      <x:c r="AF79" s="573" t="str">
        <x:v>https://slaythespire.wiki.gg/wiki/Module%3ACards/StS2_data/Ironclad</x:v>
      </x:c>
      <x:c r="AG79" s="1563"/>
      <x:c r="AH79" s="573" t="str">
        <x:v>https://slaythespire.wiki.gg/wiki/Module%3ACards/StS2_data/Ironclad</x:v>
      </x:c>
      <x:c r="AI79" s="1292"/>
    </x:row>
    <x:row r="80" ht="106" customHeight="1">
      <x:c r="A80" s="1562" t="n">
        <x:v>76</x:v>
      </x:c>
      <x:c r="B80" s="572" t="str">
        <x:v>战士普通卡</x:v>
      </x:c>
      <x:c r="C80" s="573" t="str">
        <x:v>连环拳</x:v>
      </x:c>
      <x:c r="D80" s="572" t="str">
        <x:v>OneTwoPunch</x:v>
      </x:c>
      <x:c r="E80" s="573" t="str">
        <x:v>One-Two Punch</x:v>
      </x:c>
      <x:c r="F80" s="572" t="str">
        <x:v>稀有</x:v>
      </x:c>
      <x:c r="G80" s="572" t="str">
        <x:v>1</x:v>
      </x:c>
      <x:c r="H80" s="572" t="str">
        <x:v>技能</x:v>
      </x:c>
      <x:c r="I80" s="573" t="str">
        <x:v>接下来打出的1张攻击牌额外打出1次。</x:v>
      </x:c>
      <x:c r="J80" s="573" t="str">
        <x:v>接下来打出的2张攻击牌各额外打出1次。</x:v>
      </x:c>
      <x:c r="K80" s="573" t="str">
        <x:v>重复攻击</x:v>
      </x:c>
      <x:c r="L80" s="573" t="str">
        <x:v>卡池=战士普通卡；类型=技能；稀有度=稀有；费用=1；目标=自身；基础效果=接下来打出的1张攻击牌额外打出1次。；升级效果=接下来打出的2张攻击牌各额外打出1次。；关键词=重复攻击</x:v>
      </x:c>
      <x:c r="M80" s="572" t="n">
        <x:v>0</x:v>
      </x:c>
      <x:c r="N80" s="573" t="str">
        <x:v>0（未发现开服后官方稀有度变更记录）</x:v>
      </x:c>
      <x:c r="O80" s="1597" t="str">
        <x:v>雷光狮子连弹·二段追击</x:v>
      </x:c>
      <x:c r="P80" s="1602" t="str">
        <x:v>雷光狮子连弹</x:v>
      </x:c>
      <x:c r="Q80" s="1603" t="str">
        <x:v>原著识别型项目命名（基于“雷光狮子连弹”）</x:v>
      </x:c>
      <x:c r="R80" s="1604" t="str">
        <x:v>核心目录</x:v>
      </x:c>
      <x:c r="S80" s="1134" t="str">
        <x:v>T3 高阶</x:v>
      </x:c>
      <x:c r="T80" s="784" t="str">
        <x:v>《究极风暴》白衣/Hebi佐助的雷遁体术连段。</x:v>
      </x:c>
      <x:c r="U80" s="1610" t="str">
        <x:v>无</x:v>
      </x:c>
      <x:c r="V80" s="1611" t="str">
        <x:v>本牌不得开启、延长或强化敌人/场景的写轮眼解析。阶段4角色自身红眼常驻属于形态表现，不代表本牌触发易伤解析。</x:v>
      </x:c>
      <x:c r="W80" s="1003" t="str">
        <x:v>合理性：让后续攻击额外打出，适合以雷光狮子连弹的第一段击飞目标，为下一张剑术或忍术制造重复命中窗口。联动：优先复制 Bludgeon、Dismantle、Rampage、Fiend Fire、Tear Asunder 等高价值攻击。</x:v>
      </x:c>
      <x:c r="X80" s="1003" t="str">
        <x:v>强度定位：T3 高阶。稀有度=稀有，费用=1，效果核心为“接下来打出的1张攻击牌额外打出1次。”。稀有度、数值或联动价值较高；使用高阶草薙剑、千鸟变化、蛇术或强协同名称，但不占用最终变身/终结名。 因此采用“雷光狮子连弹·二段追击”，避免名称强度高于或低于卡牌实际表现。</x:v>
      </x:c>
      <x:c r="Y80" s="1002" t="str">
        <x:v>Lightning Lions Barrage / 雷光獅子連弾</x:v>
      </x:c>
      <x:c r="Z80" s="1004" t="str">
        <x:v>究极风暴正式招式</x:v>
      </x:c>
      <x:c r="AA80" s="587" t="str">
        <x:v>面板名“雷光狮子连弹·二段追击”保留“雷光狮子连弹”的核心识别词或完整正式名。新增后缀仅用于反映卡牌机制与区分动作，不冒充新的官方招式。</x:v>
      </x:c>
      <x:c r="AB80" s="587" t="str">
        <x:v>https://naruto-ultimate-ninja-storm.fandom.com/wiki/Sasuke_Uchiha/Move_List</x:v>
      </x:c>
      <x:c r="AC80" s="572" t="str">
        <x:v>否</x:v>
      </x:c>
      <x:c r="AD80" s="573" t="str">
        <x:v>—</x:v>
      </x:c>
      <x:c r="AE80" s="587" t="str">
        <x:v>研究用候选ID；待最新 public-beta 本地审计</x:v>
      </x:c>
      <x:c r="AF80" s="573" t="str">
        <x:v>https://slaythespire.wiki.gg/wiki/Module%3ACards/StS2_data/Ironclad</x:v>
      </x:c>
      <x:c r="AG80" s="1563"/>
      <x:c r="AH80" s="573" t="str">
        <x:v>https://slaythespire.wiki.gg/wiki/Module%3ACards/StS2_data/Ironclad</x:v>
      </x:c>
      <x:c r="AI80" s="1292"/>
    </x:row>
    <x:row r="81" ht="106" customHeight="1">
      <x:c r="A81" s="1562" t="n">
        <x:v>77</x:v>
      </x:c>
      <x:c r="B81" s="572" t="str">
        <x:v>战士普通卡</x:v>
      </x:c>
      <x:c r="C81" s="573" t="str">
        <x:v>契约终结</x:v>
      </x:c>
      <x:c r="D81" s="572" t="str">
        <x:v>PactsEnd</x:v>
      </x:c>
      <x:c r="E81" s="573" t="str">
        <x:v>Pact's End</x:v>
      </x:c>
      <x:c r="F81" s="572" t="str">
        <x:v>稀有</x:v>
      </x:c>
      <x:c r="G81" s="572" t="str">
        <x:v>0</x:v>
      </x:c>
      <x:c r="H81" s="572" t="str">
        <x:v>攻击</x:v>
      </x:c>
      <x:c r="I81" s="573" t="str">
        <x:v>若消耗堆中至少有3张牌，对所有敌人造成17点伤害。</x:v>
      </x:c>
      <x:c r="J81" s="573" t="str">
        <x:v>若条件满足，对所有敌人造成23点伤害。</x:v>
      </x:c>
      <x:c r="K81" s="573" t="str">
        <x:v>消耗堆条件；群体伤害</x:v>
      </x:c>
      <x:c r="L81" s="573" t="str">
        <x:v>卡池=战士普通卡；类型=攻击；稀有度=稀有；费用=0；目标=所有敌人；基础效果=若消耗堆中至少有3张牌，对所有敌人造成17点伤害。；升级效果=若条件满足，对所有敌人造成23点伤害。；关键词=消耗堆条件；群体伤害</x:v>
      </x:c>
      <x:c r="M81" s="572" t="n">
        <x:v>0</x:v>
      </x:c>
      <x:c r="N81" s="573" t="str">
        <x:v>0（未发现开服后官方稀有度变更记录）</x:v>
      </x:c>
      <x:c r="O81" s="1597" t="str">
        <x:v>豪龙火·雷云引动</x:v>
      </x:c>
      <x:c r="P81" s="1602" t="str">
        <x:v>火遁·豪龙火之术</x:v>
      </x:c>
      <x:c r="Q81" s="1603" t="str">
        <x:v>原著识别型项目命名（基于“火遁·豪龙火之术”）</x:v>
      </x:c>
      <x:c r="R81" s="1604" t="str">
        <x:v>核心目录</x:v>
      </x:c>
      <x:c r="S81" s="1134" t="str">
        <x:v>T4 决战</x:v>
      </x:c>
      <x:c r="T81" s="784" t="str">
        <x:v>兄弟之战对鼬实际使用，并制造麒麟所需雷云。</x:v>
      </x:c>
      <x:c r="U81" s="1610" t="str">
        <x:v>无</x:v>
      </x:c>
      <x:c r="V81" s="1611" t="str">
        <x:v>本牌不得开启、延长或强化敌人/场景的写轮眼解析。阶段4角色自身红眼常驻属于形态表现，不代表本牌触发易伤解析。</x:v>
      </x:c>
      <x:c r="W81" s="1003" t="str">
        <x:v>合理性：只有消耗堆达到条件才发动群体伤害，表示此前所有咒印献祭在“契约终结”时统一爆发。联动：Burning Pact、True Grit、Second Wind、Stoke、Fiend Fire 负责积累；与 Ashen Strike 同为消耗堆的不同收束方式。</x:v>
      </x:c>
      <x:c r="X81" s="1003" t="str">
        <x:v>强度定位：T4 决战。稀有度=稀有，费用=0，效果核心为“若消耗堆中至少有3张牌，对所有敌人造成17点伤害。”。高费用、高条件、高额数值或回合核心；可使用豪龙火、咒印二防御、禁忌解放等决战级名称。 因此采用“豪龙火·雷云引动”，避免名称强度高于或低于卡牌实际表现。</x:v>
      </x:c>
      <x:c r="Y81" s="1002" t="str">
        <x:v>Fire Release: Great Dragon Fire Technique / 火遁・豪龍火の術</x:v>
      </x:c>
      <x:c r="Z81" s="1004" t="str">
        <x:v>原作漫画、动画、游戏</x:v>
      </x:c>
      <x:c r="AA81" s="587" t="str">
        <x:v>面板名“豪龙火·雷云引动”保留“火遁·豪龙火之术”的核心识别词或完整正式名。新增后缀仅用于反映卡牌机制与区分动作，不冒充新的官方招式。</x:v>
      </x:c>
      <x:c r="AB81" s="587" t="str">
        <x:v>https://naruto.fandom.com/wiki/Sasuke_Uchiha</x:v>
      </x:c>
      <x:c r="AC81" s="572" t="str">
        <x:v>否</x:v>
      </x:c>
      <x:c r="AD81" s="573" t="str">
        <x:v>—</x:v>
      </x:c>
      <x:c r="AE81" s="587" t="str">
        <x:v>研究用候选ID；待最新 public-beta 本地审计</x:v>
      </x:c>
      <x:c r="AF81" s="573" t="str">
        <x:v>https://slaythespire.wiki.gg/wiki/Module%3ACards/StS2_data/Ironclad</x:v>
      </x:c>
      <x:c r="AG81" s="1563"/>
      <x:c r="AH81" s="573" t="str">
        <x:v>https://slaythespire.wiki.gg/wiki/Module%3ACards/StS2_data/Ironclad</x:v>
      </x:c>
      <x:c r="AI81" s="1292"/>
    </x:row>
    <x:row r="82" ht="106" customHeight="1">
      <x:c r="A82" s="1562" t="n">
        <x:v>78</x:v>
      </x:c>
      <x:c r="B82" s="572" t="str">
        <x:v>战士普通卡</x:v>
      </x:c>
      <x:c r="C82" s="573" t="str">
        <x:v>原始力量</x:v>
      </x:c>
      <x:c r="D82" s="572" t="str">
        <x:v>PrimalForce</x:v>
      </x:c>
      <x:c r="E82" s="573" t="str">
        <x:v>Primal Force</x:v>
      </x:c>
      <x:c r="F82" s="572" t="str">
        <x:v>稀有</x:v>
      </x:c>
      <x:c r="G82" s="572" t="str">
        <x:v>0</x:v>
      </x:c>
      <x:c r="H82" s="572" t="str">
        <x:v>技能</x:v>
      </x:c>
      <x:c r="I82" s="573" t="str">
        <x:v>将手牌中的所有攻击牌转化为巨石。</x:v>
      </x:c>
      <x:c r="J82" s="573" t="str">
        <x:v>将所有攻击牌转化为升级版巨石。</x:v>
      </x:c>
      <x:c r="K82" s="573" t="str">
        <x:v>转化；衍生牌</x:v>
      </x:c>
      <x:c r="L82" s="573" t="str">
        <x:v>卡池=战士普通卡；类型=技能；稀有度=稀有；费用=0；目标=手牌；基础效果=将手牌中的所有攻击牌转化为巨石。；升级效果=将所有攻击牌转化为升级版巨石。；关键词=转化；衍生牌</x:v>
      </x:c>
      <x:c r="M82" s="572" t="n">
        <x:v>0</x:v>
      </x:c>
      <x:c r="N82" s="573" t="str">
        <x:v>0（未发现开服后官方稀有度变更记录）</x:v>
      </x:c>
      <x:c r="O82" s="1597" t="str">
        <x:v>千鸟锐枪·查克拉压缩</x:v>
      </x:c>
      <x:c r="P82" s="1602" t="str">
        <x:v>千鸟锐枪</x:v>
      </x:c>
      <x:c r="Q82" s="1603" t="str">
        <x:v>原著识别型项目命名（基于“千鸟锐枪”）</x:v>
      </x:c>
      <x:c r="R82" s="1604" t="str">
        <x:v>核心目录</x:v>
      </x:c>
      <x:c r="S82" s="1134" t="str">
        <x:v>T3 高阶</x:v>
      </x:c>
      <x:c r="T82" s="784" t="str">
        <x:v>白衣/Hebi开发并实际使用的中距离千鸟形态变化。</x:v>
      </x:c>
      <x:c r="U82" s="1610" t="str">
        <x:v>无</x:v>
      </x:c>
      <x:c r="V82" s="1611" t="str">
        <x:v>本牌不得开启、延长或强化敌人/场景的写轮眼解析。阶段4角色自身红眼常驻属于形态表现，不代表本牌触发易伤解析。</x:v>
      </x:c>
      <x:c r="W82" s="1003" t="str">
        <x:v>合理性：将所有攻击牌转化为同一种高伤单体牌，不必拘泥“巨石”字面，可解释为把各种攻击查克拉压缩成统一的千鸟锐枪。联动：直接生成 Giant Rock/千鸟锐枪；适合先用 Battle Trance、Pillage 扩充攻击手牌，再配 One-Two Punch、Unrelenting 释放。</x:v>
      </x:c>
      <x:c r="X82" s="1003" t="str">
        <x:v>强度定位：T3 高阶。稀有度=稀有，费用=0，效果核心为“将手牌中的所有攻击牌转化为巨石。”。稀有度、数值或联动价值较高；使用高阶草薙剑、千鸟变化、蛇术或强协同名称，但不占用最终变身/终结名。 因此采用“千鸟锐枪·查克拉压缩”，避免名称强度高于或低于卡牌实际表现。</x:v>
      </x:c>
      <x:c r="Y82" s="1002" t="str">
        <x:v>Chidori Sharp Spear / 千鳥鋭槍</x:v>
      </x:c>
      <x:c r="Z82" s="1004" t="str">
        <x:v>原作漫画、动画、究极风暴</x:v>
      </x:c>
      <x:c r="AA82" s="587" t="str">
        <x:v>面板名“千鸟锐枪·查克拉压缩”保留“千鸟锐枪”的核心识别词或完整正式名。新增后缀仅用于反映卡牌机制与区分动作，不冒充新的官方招式。</x:v>
      </x:c>
      <x:c r="AB82" s="587" t="str">
        <x:v>https://naruto.fandom.com/wiki/Chidori</x:v>
      </x:c>
      <x:c r="AC82" s="572" t="str">
        <x:v>否</x:v>
      </x:c>
      <x:c r="AD82" s="573" t="str">
        <x:v>—</x:v>
      </x:c>
      <x:c r="AE82" s="587" t="str">
        <x:v>研究用候选ID；待最新 public-beta 本地审计</x:v>
      </x:c>
      <x:c r="AF82" s="573" t="str">
        <x:v>https://slaythespire.wiki.gg/wiki/Module%3ACards/StS2_data/Ironclad</x:v>
      </x:c>
      <x:c r="AG82" s="1563"/>
      <x:c r="AH82" s="573" t="str">
        <x:v>https://slaythespire.wiki.gg/wiki/Module%3ACards/StS2_data/Ironclad</x:v>
      </x:c>
      <x:c r="AI82" s="1292"/>
    </x:row>
    <x:row r="83" ht="106" customHeight="1">
      <x:c r="A83" s="1562" t="n">
        <x:v>79</x:v>
      </x:c>
      <x:c r="B83" s="572" t="str">
        <x:v>战士普通卡</x:v>
      </x:c>
      <x:c r="C83" s="573" t="str">
        <x:v>火葬堆</x:v>
      </x:c>
      <x:c r="D83" s="572" t="str">
        <x:v>Pyre</x:v>
      </x:c>
      <x:c r="E83" s="573" t="str">
        <x:v>Pyre</x:v>
      </x:c>
      <x:c r="F83" s="572" t="str">
        <x:v>稀有</x:v>
      </x:c>
      <x:c r="G83" s="572" t="str">
        <x:v>2</x:v>
      </x:c>
      <x:c r="H83" s="572" t="str">
        <x:v>能力</x:v>
      </x:c>
      <x:c r="I83" s="573" t="str">
        <x:v>每回合开始获得1点能量。</x:v>
      </x:c>
      <x:c r="J83" s="573" t="str">
        <x:v>每回合开始获得2点能量。</x:v>
      </x:c>
      <x:c r="K83" s="573" t="str">
        <x:v>能力；持续能量</x:v>
      </x:c>
      <x:c r="L83" s="573" t="str">
        <x:v>卡池=战士普通卡；类型=能力；稀有度=稀有；费用=2；目标=自身；基础效果=每回合开始获得1点能量。；升级效果=每回合开始获得2点能量。；关键词=能力；持续能量</x:v>
      </x:c>
      <x:c r="M83" s="572" t="n">
        <x:v>0</x:v>
      </x:c>
      <x:c r="N83" s="573" t="str">
        <x:v>0（未发现开服后官方稀有度变更记录）</x:v>
      </x:c>
      <x:c r="O83" s="1597" t="str">
        <x:v>豪龙火·雷云蓄势</x:v>
      </x:c>
      <x:c r="P83" s="1602" t="str">
        <x:v>火遁·豪龙火之术</x:v>
      </x:c>
      <x:c r="Q83" s="1603" t="str">
        <x:v>原著识别型项目命名（基于“火遁·豪龙火之术”）</x:v>
      </x:c>
      <x:c r="R83" s="1604" t="str">
        <x:v>核心目录</x:v>
      </x:c>
      <x:c r="S83" s="1134" t="str">
        <x:v>T3 高阶</x:v>
      </x:c>
      <x:c r="T83" s="784" t="str">
        <x:v>兄弟之战对鼬实际使用，并制造麒麟所需雷云。</x:v>
      </x:c>
      <x:c r="U83" s="1610" t="str">
        <x:v>无</x:v>
      </x:c>
      <x:c r="V83" s="1611" t="str">
        <x:v>本牌不得开启、延长或强化敌人/场景的写轮眼解析。阶段4角色自身红眼常驻属于形态表现，不代表本牌触发易伤解析。</x:v>
      </x:c>
      <x:c r="W83" s="1003" t="str">
        <x:v>合理性：每回合稳定获得能量，适合持续燃烧、不熄灭的火遁炉心，为后续大招不断提供查克拉。联动：长期支持 Whirlwind、Cascade、Bludgeon、Demon Form、Fiend Fire 等高费牌，并减少对一次性 Bloodletting/Offering 的依赖。</x:v>
      </x:c>
      <x:c r="X83" s="1003" t="str">
        <x:v>强度定位：T3 高阶。稀有度=稀有，费用=2，效果核心为“每回合开始获得1点能量。”。稀有度、数值或联动价值较高；使用高阶草薙剑、千鸟变化、蛇术或强协同名称，但不占用最终变身/终结名。 因此采用“豪龙火·雷云蓄势”，避免名称强度高于或低于卡牌实际表现。</x:v>
      </x:c>
      <x:c r="Y83" s="1002" t="str">
        <x:v>Fire Release: Great Dragon Fire Technique / 火遁・豪龍火の術</x:v>
      </x:c>
      <x:c r="Z83" s="1004" t="str">
        <x:v>原作漫画、动画、游戏</x:v>
      </x:c>
      <x:c r="AA83" s="587" t="str">
        <x:v>面板名“豪龙火·雷云蓄势”保留“火遁·豪龙火之术”的核心识别词或完整正式名。新增后缀仅用于反映卡牌机制与区分动作，不冒充新的官方招式。</x:v>
      </x:c>
      <x:c r="AB83" s="587" t="str">
        <x:v>https://naruto.fandom.com/wiki/Sasuke_Uchiha</x:v>
      </x:c>
      <x:c r="AC83" s="572" t="str">
        <x:v>否</x:v>
      </x:c>
      <x:c r="AD83" s="573" t="str">
        <x:v>—</x:v>
      </x:c>
      <x:c r="AE83" s="587" t="str">
        <x:v>研究用候选ID；待最新 public-beta 本地审计</x:v>
      </x:c>
      <x:c r="AF83" s="573" t="str">
        <x:v>https://slaythespire.wiki.gg/wiki/Module%3ACards/StS2_data/Ironclad</x:v>
      </x:c>
      <x:c r="AG83" s="1563"/>
      <x:c r="AH83" s="573" t="str">
        <x:v>https://slaythespire.wiki.gg/wiki/Module%3ACards/StS2_data/Ironclad</x:v>
      </x:c>
      <x:c r="AI83" s="1292"/>
    </x:row>
    <x:row r="84" ht="106" customHeight="1">
      <x:c r="A84" s="1562" t="n">
        <x:v>80</x:v>
      </x:c>
      <x:c r="B84" s="572" t="str">
        <x:v>战士普通卡</x:v>
      </x:c>
      <x:c r="C84" s="573" t="str">
        <x:v>添柴</x:v>
      </x:c>
      <x:c r="D84" s="572" t="str">
        <x:v>Stoke</x:v>
      </x:c>
      <x:c r="E84" s="573" t="str">
        <x:v>Stoke</x:v>
      </x:c>
      <x:c r="F84" s="572" t="str">
        <x:v>稀有</x:v>
      </x:c>
      <x:c r="G84" s="572" t="str">
        <x:v>1</x:v>
      </x:c>
      <x:c r="H84" s="572" t="str">
        <x:v>技能</x:v>
      </x:c>
      <x:c r="I84" s="573" t="str">
        <x:v>消耗手牌；每消耗1张牌，加入1张随机普通牌。</x:v>
      </x:c>
      <x:c r="J84" s="573" t="str">
        <x:v>每消耗1张牌，加入1张随机升级牌。</x:v>
      </x:c>
      <x:c r="K84" s="573" t="str">
        <x:v>批量消耗；生成</x:v>
      </x:c>
      <x:c r="L84" s="573" t="str">
        <x:v>卡池=战士普通卡；类型=技能；稀有度=稀有；费用=1；目标=自身/手牌；基础效果=消耗手牌；每消耗1张牌，加入1张随机普通牌。；升级效果=每消耗1张牌，加入1张随机升级牌。；关键词=批量消耗；生成</x:v>
      </x:c>
      <x:c r="M84" s="572" t="n">
        <x:v>0</x:v>
      </x:c>
      <x:c r="N84" s="573" t="str">
        <x:v>0（未发现开服后官方稀有度变更记录）</x:v>
      </x:c>
      <x:c r="O84" s="1597" t="str">
        <x:v>火遁·豪火球·炉心重铸</x:v>
      </x:c>
      <x:c r="P84" s="1602" t="str">
        <x:v>火遁·豪火球之术</x:v>
      </x:c>
      <x:c r="Q84" s="1603" t="str">
        <x:v>原著识别型项目命名（基于“火遁·豪火球之术”）</x:v>
      </x:c>
      <x:c r="R84" s="1604" t="str">
        <x:v>核心目录</x:v>
      </x:c>
      <x:c r="S84" s="1134" t="str">
        <x:v>T3 高阶</x:v>
      </x:c>
      <x:c r="T84" s="784" t="str">
        <x:v>白衣/Hebi及咒印二《究极风暴》动作；兄弟之战继续使用火遁。</x:v>
      </x:c>
      <x:c r="U84" s="1610" t="str">
        <x:v>无</x:v>
      </x:c>
      <x:c r="V84" s="1611" t="str">
        <x:v>本牌不得开启、延长或强化敌人/场景的写轮眼解析。阶段4角色自身红眼常驻属于形态表现，不代表本牌触发易伤解析。</x:v>
      </x:c>
      <x:c r="W84" s="1003" t="str">
        <x:v>合理性：消耗整手牌并按数量生成新牌，像火遁炉心焚毁旧资源后重新锻造新的忍术卷轴。联动：大量触发 Feel No Pain、Dark Embrace、Ashen Strike、Pact's End、Midnight；生成牌继续支持后续回合。</x:v>
      </x:c>
      <x:c r="X84" s="1003" t="str">
        <x:v>强度定位：T3 高阶。稀有度=稀有，费用=1，效果核心为“消耗手牌；每消耗1张牌，加入1张随机普通牌。”。稀有度、数值或联动价值较高；使用高阶草薙剑、千鸟变化、蛇术或强协同名称，但不占用最终变身/终结名。 因此采用“火遁·豪火球·炉心重铸”，避免名称强度高于或低于卡牌实际表现。</x:v>
      </x:c>
      <x:c r="Y84" s="1002" t="str">
        <x:v>Fire Release: Great Fireball Technique / 火遁・豪火球の術</x:v>
      </x:c>
      <x:c r="Z84" s="1004" t="str">
        <x:v>原作、动画、究极风暴</x:v>
      </x:c>
      <x:c r="AA84" s="587" t="str">
        <x:v>面板名“火遁·豪火球·炉心重铸”保留“火遁·豪火球之术”的核心识别词或完整正式名。新增后缀仅用于反映卡牌机制与区分动作，不冒充新的官方招式。</x:v>
      </x:c>
      <x:c r="AB84" s="587" t="str">
        <x:v>https://naruto-ultimate-ninja-storm.fandom.com/wiki/Sasuke_Uchiha/Move_List</x:v>
      </x:c>
      <x:c r="AC84" s="572" t="str">
        <x:v>否</x:v>
      </x:c>
      <x:c r="AD84" s="573" t="str">
        <x:v>—</x:v>
      </x:c>
      <x:c r="AE84" s="587" t="str">
        <x:v>研究用候选ID；待最新 public-beta 本地审计</x:v>
      </x:c>
      <x:c r="AF84" s="573" t="str">
        <x:v>https://slaythespire.wiki.gg/wiki/Module%3ACards/StS2_data/Ironclad</x:v>
      </x:c>
      <x:c r="AG84" s="1563"/>
      <x:c r="AH84" s="573" t="str">
        <x:v>https://slaythespire.wiki.gg/wiki/Module%3ACards/StS2_data/Ironclad</x:v>
      </x:c>
      <x:c r="AI84" s="1292"/>
    </x:row>
    <x:row r="85" ht="106" customHeight="1">
      <x:c r="A85" s="1562" t="n">
        <x:v>81</x:v>
      </x:c>
      <x:c r="B85" s="572" t="str">
        <x:v>战士普通卡</x:v>
      </x:c>
      <x:c r="C85" s="573" t="str">
        <x:v>撕成碎片</x:v>
      </x:c>
      <x:c r="D85" s="572" t="str">
        <x:v>TearAsunder</x:v>
      </x:c>
      <x:c r="E85" s="573" t="str">
        <x:v>Tear Asunder</x:v>
      </x:c>
      <x:c r="F85" s="572" t="str">
        <x:v>稀有</x:v>
      </x:c>
      <x:c r="G85" s="572" t="str">
        <x:v>2</x:v>
      </x:c>
      <x:c r="H85" s="572" t="str">
        <x:v>攻击</x:v>
      </x:c>
      <x:c r="I85" s="573" t="str">
        <x:v>造成5点伤害；本场战斗中每次主动失去生命，额外攻击1次。</x:v>
      </x:c>
      <x:c r="J85" s="573" t="str">
        <x:v>每次造成7点伤害；额外攻击规则不变。</x:v>
      </x:c>
      <x:c r="K85" s="573" t="str">
        <x:v>自损计数；动态多段；临时形态转化</x:v>
      </x:c>
      <x:c r="L85" s="573" t="str">
        <x:v>卡池=战士普通卡；类型=攻击；稀有度=稀有；费用=2；目标=单体敌人；基础效果=造成5点伤害；本场战斗中每次主动失去生命，额外攻击1次。；升级效果=每次造成7点伤害；额外攻击规则不变。；关键词=自损计数；动态多段；临时形态转化</x:v>
      </x:c>
      <x:c r="M85" s="572" t="n">
        <x:v>0</x:v>
      </x:c>
      <x:c r="N85" s="573" t="str">
        <x:v>0（未发现开服后官方稀有度变更记录）</x:v>
      </x:c>
      <x:c r="O85" s="1597" t="str">
        <x:v>羽击千鸟</x:v>
      </x:c>
      <x:c r="P85" s="1602" t="str">
        <x:v>羽击千鸟</x:v>
      </x:c>
      <x:c r="Q85" s="1603" t="str">
        <x:v>正式招式名原样采用</x:v>
      </x:c>
      <x:c r="R85" s="1604" t="str">
        <x:v>核心目录</x:v>
      </x:c>
      <x:c r="S85" s="1134" t="str">
        <x:v>T5 变身/终极</x:v>
      </x:c>
      <x:c r="T85" s="784" t="str">
        <x:v>咒印二专属黑色千鸟变体。</x:v>
      </x:c>
      <x:c r="U85" s="1610" t="str">
        <x:v>无</x:v>
      </x:c>
      <x:c r="V85" s="1611" t="str">
        <x:v>本牌不得开启、延长或强化敌人/场景的写轮眼解析。阶段4角色自身红眼常驻属于形态表现，不代表本牌触发易伤解析。</x:v>
      </x:c>
      <x:c r="W85" s="1003" t="str">
        <x:v>合理性：攻击次数随本场主动失血次数成长，最适合临时进入咒印二，让此前每一道伤口都转化为一次翼击或黑雷追杀。联动：从3A/3B临时进入4A/4B；与 Bloodletting、Hemokinesis、Offering、Inferno、Rupture、Crimson Mantle 累积，Demon Form 存在时维持阶段4。</x:v>
      </x:c>
      <x:c r="X85" s="1003" t="str">
        <x:v>强度定位：T5 变身/终极。稀有度=稀有，费用=2，效果核心为“造成5点伤害；本场战斗中每次主动失去生命，额外攻击1次。”。直接形态转换或全体系最高终结；只保留天之咒印第二状态、羽击千鸟、麒麟等最高级名称。 因此采用“羽击千鸟”，避免名称强度高于或低于卡牌实际表现。</x:v>
      </x:c>
      <x:c r="Y85" s="1002" t="str">
        <x:v>Flapping Chidori / 羽撃く千鳥</x:v>
      </x:c>
      <x:c r="Z85" s="1004" t="str">
        <x:v>原作变体、动画、究极风暴</x:v>
      </x:c>
      <x:c r="AA85" s="587" t="str">
        <x:v>面板名“羽击千鸟”保留“羽击千鸟”的核心识别词或完整正式名。新增后缀仅用于反映卡牌机制与区分动作，不冒充新的官方招式。</x:v>
      </x:c>
      <x:c r="AB85" s="587" t="str">
        <x:v>https://naruto.fandom.com/wiki/Chidori</x:v>
      </x:c>
      <x:c r="AC85" s="572" t="str">
        <x:v>是（临时）</x:v>
      </x:c>
      <x:c r="AD85" s="573" t="str">
        <x:v>3A→临时4A→3A；3B→临时4B→3B；若已有Demon Form持久4，则动作结束后维持4</x:v>
      </x:c>
      <x:c r="AE85" s="587" t="str">
        <x:v>研究用候选ID；待最新 public-beta 本地审计</x:v>
      </x:c>
      <x:c r="AF85" s="573" t="str">
        <x:v>https://slaythespire.wiki.gg/wiki/Module%3ACards/StS2_data/Ironclad</x:v>
      </x:c>
      <x:c r="AG85" s="1563"/>
      <x:c r="AH85" s="573" t="str">
        <x:v>https://slaythespire.wiki.gg/wiki/Module%3ACards/StS2_data/Ironclad</x:v>
      </x:c>
      <x:c r="AI85" s="1292"/>
    </x:row>
    <x:row r="86" ht="106" customHeight="1">
      <x:c r="A86" s="1562" t="n">
        <x:v>82</x:v>
      </x:c>
      <x:c r="B86" s="572" t="str">
        <x:v>战士普通卡</x:v>
      </x:c>
      <x:c r="C86" s="573" t="str">
        <x:v>狂打</x:v>
      </x:c>
      <x:c r="D86" s="572" t="str">
        <x:v>Thrash</x:v>
      </x:c>
      <x:c r="E86" s="573" t="str">
        <x:v>Thrash</x:v>
      </x:c>
      <x:c r="F86" s="572" t="str">
        <x:v>稀有</x:v>
      </x:c>
      <x:c r="G86" s="572" t="str">
        <x:v>1</x:v>
      </x:c>
      <x:c r="H86" s="572" t="str">
        <x:v>攻击</x:v>
      </x:c>
      <x:c r="I86" s="573" t="str">
        <x:v>造成4点伤害2次；随机消耗手牌中的1张攻击牌，并将其伤害加入此牌。</x:v>
      </x:c>
      <x:c r="J86" s="573" t="str">
        <x:v>造成6点伤害2次；其余效果不变。</x:v>
      </x:c>
      <x:c r="K86" s="573" t="str">
        <x:v>双段；消耗攻击；伤害继承</x:v>
      </x:c>
      <x:c r="L86" s="573" t="str">
        <x:v>卡池=战士普通卡；类型=攻击；稀有度=稀有；费用=1；目标=单体敌人；基础效果=造成4点伤害2次；随机消耗手牌中的1张攻击牌，并将其伤害加入此牌。；升级效果=造成6点伤害2次；其余效果不变。；关键词=双段；消耗攻击；伤害继承</x:v>
      </x:c>
      <x:c r="M86" s="572" t="n">
        <x:v>0</x:v>
      </x:c>
      <x:c r="N86" s="573" t="str">
        <x:v>0（未发现开服后官方稀有度变更记录）</x:v>
      </x:c>
      <x:c r="O86" s="1597" t="str">
        <x:v>千鸟刀·吞式</x:v>
      </x:c>
      <x:c r="P86" s="1602" t="str">
        <x:v>草薙剑·千鸟刀</x:v>
      </x:c>
      <x:c r="Q86" s="1603" t="str">
        <x:v>原著识别型项目命名（基于“草薙剑·千鸟刀”）</x:v>
      </x:c>
      <x:c r="R86" s="1604" t="str">
        <x:v>核心目录</x:v>
      </x:c>
      <x:c r="S86" s="1134" t="str">
        <x:v>T3 高阶</x:v>
      </x:c>
      <x:c r="T86" s="784" t="str">
        <x:v>白衣/Hebi与兄弟之战实际使用的雷遁附剑体系。</x:v>
      </x:c>
      <x:c r="U86" s="1610" t="str">
        <x:v>无</x:v>
      </x:c>
      <x:c r="V86" s="1611" t="str">
        <x:v>本牌不得开启、延长或强化敌人/场景的写轮眼解析。阶段4角色自身红眼常驻属于形态表现，不代表本牌触发易伤解析。</x:v>
      </x:c>
      <x:c r="W86" s="1003" t="str">
        <x:v>合理性：消耗一张攻击并把其伤害加入自身，适合草薙剑狂乱连斩吸收另一种攻击招式的查克拉和动作节奏。联动：可吞噬 Infernal Blade/Aggression 生成或取回的攻击；同时触发 Feel No Pain、Dark Embrace、Ashen Strike、Midnight。</x:v>
      </x:c>
      <x:c r="X86" s="1003" t="str">
        <x:v>强度定位：T3 高阶。稀有度=稀有，费用=1，效果核心为“造成4点伤害2次；随机消耗手牌中的1张攻击牌，并将其伤害加入此牌。”。稀有度、数值或联动价值较高；使用高阶草薙剑、千鸟变化、蛇术或强协同名称，但不占用最终变身/终结名。 因此采用“千鸟刀·吞式”，避免名称强度高于或低于卡牌实际表现。</x:v>
      </x:c>
      <x:c r="Y86" s="1002" t="str">
        <x:v>Sword of Kusanagi: Chidori Katana / 草薙の剣・千鳥刀</x:v>
      </x:c>
      <x:c r="Z86" s="1004" t="str">
        <x:v>原作漫画、动画、资料书</x:v>
      </x:c>
      <x:c r="AA86" s="587" t="str">
        <x:v>面板名“千鸟刀·吞式”保留“草薙剑·千鸟刀”的核心识别词或完整正式名。新增后缀仅用于反映卡牌机制与区分动作，不冒充新的官方招式。</x:v>
      </x:c>
      <x:c r="AB86" s="587" t="str">
        <x:v>https://naruto.fandom.com/wiki/Chidori_Current</x:v>
      </x:c>
      <x:c r="AC86" s="572" t="str">
        <x:v>否</x:v>
      </x:c>
      <x:c r="AD86" s="573" t="str">
        <x:v>—</x:v>
      </x:c>
      <x:c r="AE86" s="587" t="str">
        <x:v>研究用候选ID；待最新 public-beta 本地审计</x:v>
      </x:c>
      <x:c r="AF86" s="573" t="str">
        <x:v>https://slaythespire.wiki.gg/wiki/Module%3ACards/StS2_data/Ironclad</x:v>
      </x:c>
      <x:c r="AG86" s="1563"/>
      <x:c r="AH86" s="573" t="str">
        <x:v>https://slaythespire.wiki.gg/wiki/Module%3ACards/StS2_data/Ironclad</x:v>
      </x:c>
      <x:c r="AI86" s="1292"/>
    </x:row>
    <x:row r="87" ht="106" customHeight="1">
      <x:c r="A87" s="1562" t="n">
        <x:v>83</x:v>
      </x:c>
      <x:c r="B87" s="572" t="str">
        <x:v>战士普通卡</x:v>
      </x:c>
      <x:c r="C87" s="573" t="str">
        <x:v>不动如山</x:v>
      </x:c>
      <x:c r="D87" s="572" t="str">
        <x:v>Unmovable</x:v>
      </x:c>
      <x:c r="E87" s="573" t="str">
        <x:v>Unmovable</x:v>
      </x:c>
      <x:c r="F87" s="572" t="str">
        <x:v>稀有</x:v>
      </x:c>
      <x:c r="G87" s="572" t="str">
        <x:v>2→1</x:v>
      </x:c>
      <x:c r="H87" s="572" t="str">
        <x:v>能力</x:v>
      </x:c>
      <x:c r="I87" s="573" t="str">
        <x:v>每回合第一次通过卡牌获得格挡时，使该次格挡翻倍。</x:v>
      </x:c>
      <x:c r="J87" s="573" t="str">
        <x:v>费用降为1；效果不变。</x:v>
      </x:c>
      <x:c r="K87" s="573" t="str">
        <x:v>能力；格挡翻倍</x:v>
      </x:c>
      <x:c r="L87" s="573" t="str">
        <x:v>卡池=战士普通卡；类型=能力；稀有度=稀有；费用=2→1；目标=自身；基础效果=每回合第一次通过卡牌获得格挡时，使该次格挡翻倍。；升级效果=费用降为1；效果不变。；关键词=能力；格挡翻倍</x:v>
      </x:c>
      <x:c r="M87" s="572" t="n">
        <x:v>0</x:v>
      </x:c>
      <x:c r="N87" s="573" t="str">
        <x:v>0（未发现开服后官方稀有度变更记录）</x:v>
      </x:c>
      <x:c r="O87" s="1597" t="str">
        <x:v>咒印二·翼盾</x:v>
      </x:c>
      <x:c r="P87" s="1602" t="str">
        <x:v>天之咒印·状态二</x:v>
      </x:c>
      <x:c r="Q87" s="1603" t="str">
        <x:v>原著识别型项目命名（基于“天之咒印·状态二”）</x:v>
      </x:c>
      <x:c r="R87" s="1604" t="str">
        <x:v>核心目录</x:v>
      </x:c>
      <x:c r="S87" s="1134" t="str">
        <x:v>T4 决战</x:v>
      </x:c>
      <x:c r="T87" s="784" t="str">
        <x:v>咒印二完整形态，包含双翼、飞行、翼防御和黑色千鸟表现。</x:v>
      </x:c>
      <x:c r="U87" s="1610" t="str">
        <x:v>无</x:v>
      </x:c>
      <x:c r="V87" s="1611" t="str">
        <x:v>本牌不得开启、延长或强化敌人/场景的写轮眼解析。阶段4角色自身红眼常驻属于形态表现，不代表本牌触发易伤解析。</x:v>
      </x:c>
      <x:c r="W87" s="1003" t="str">
        <x:v>合理性：每回合第一次卡牌格挡翻倍，适合咒印双翼在第一次遭受威胁时完全展开，之后保持较低强度。联动：优先放大 Impervious、Flame Barrier、Blood Wall、Tank 或 Demonic Shield，并把高格挡交给 Body Slam、Juggernaut。</x:v>
      </x:c>
      <x:c r="X87" s="1003" t="str">
        <x:v>强度定位：T4 决战。稀有度=稀有，费用=2→1，效果核心为“每回合第一次通过卡牌获得格挡时，使该次格挡翻倍。”。高费用、高条件、高额数值或回合核心；可使用豪龙火、咒印二防御、禁忌解放等决战级名称。 因此采用“咒印二·翼盾”，避免名称强度高于或低于卡牌实际表现。</x:v>
      </x:c>
      <x:c r="Y87" s="1002" t="str">
        <x:v>Cursed Seal of Heaven — Level 2 / 天の呪印・状態2</x:v>
      </x:c>
      <x:c r="Z87" s="1004" t="str">
        <x:v>原作状态、究极风暴、火影忍者手游</x:v>
      </x:c>
      <x:c r="AA87" s="587" t="str">
        <x:v>面板名“咒印二·翼盾”保留“天之咒印·状态二”的核心识别词或完整正式名。新增后缀仅用于反映卡牌机制与区分动作，不冒充新的官方招式。</x:v>
      </x:c>
      <x:c r="AB87" s="587" t="str">
        <x:v>https://naruto.fandom.com/wiki/Cursed_Seal_of_Heaven</x:v>
      </x:c>
      <x:c r="AC87" s="572" t="str">
        <x:v>否</x:v>
      </x:c>
      <x:c r="AD87" s="573" t="str">
        <x:v>—</x:v>
      </x:c>
      <x:c r="AE87" s="587" t="str">
        <x:v>研究用候选ID；待最新 public-beta 本地审计</x:v>
      </x:c>
      <x:c r="AF87" s="573" t="str">
        <x:v>https://slaythespire.wiki.gg/wiki/Module%3ACards/StS2_data/Ironclad</x:v>
      </x:c>
      <x:c r="AG87" s="1563"/>
      <x:c r="AH87" s="573" t="str">
        <x:v>https://slaythespire.wiki.gg/wiki/Module%3ACards/StS2_data/Ironclad</x:v>
      </x:c>
      <x:c r="AI87" s="1292"/>
    </x:row>
    <x:row r="88" ht="106" customHeight="1">
      <x:c r="A88" s="1562" t="n">
        <x:v>84</x:v>
      </x:c>
      <x:c r="B88" s="572" t="str">
        <x:v>战士多人卡</x:v>
      </x:c>
      <x:c r="C88" s="573" t="str">
        <x:v>炽燃</x:v>
      </x:c>
      <x:c r="D88" s="572" t="str">
        <x:v>Blaze</x:v>
      </x:c>
      <x:c r="E88" s="573" t="str">
        <x:v>Blaze</x:v>
      </x:c>
      <x:c r="F88" s="572" t="str">
        <x:v>罕见</x:v>
      </x:c>
      <x:c r="G88" s="572" t="str">
        <x:v>2</x:v>
      </x:c>
      <x:c r="H88" s="572" t="str">
        <x:v>技能</x:v>
      </x:c>
      <x:c r="I88" s="573" t="str">
        <x:v>给予另一名玩家5点力量。</x:v>
      </x:c>
      <x:c r="J88" s="573" t="str">
        <x:v>给予另一名玩家7点力量。</x:v>
      </x:c>
      <x:c r="K88" s="573" t="str">
        <x:v>多人；给予队友力量</x:v>
      </x:c>
      <x:c r="L88" s="573" t="str">
        <x:v>卡池=战士多人卡；类型=技能；稀有度=罕见；费用=2；目标=另一名玩家；基础效果=给予另一名玩家5点力量。；升级效果=给予另一名玩家7点力量。；关键词=多人；给予队友力量</x:v>
      </x:c>
      <x:c r="M88" s="572" t="n">
        <x:v>0</x:v>
      </x:c>
      <x:c r="N88" s="573" t="str">
        <x:v>0（未发现开服后官方稀有度变更记录）</x:v>
      </x:c>
      <x:c r="O88" s="1597" t="str">
        <x:v>火遁·查克拉传递</x:v>
      </x:c>
      <x:c r="P88" s="1602" t="str">
        <x:v>火遁·豪火球之术</x:v>
      </x:c>
      <x:c r="Q88" s="1603" t="str">
        <x:v>原著识别型项目命名（基于“火遁·豪火球之术”）</x:v>
      </x:c>
      <x:c r="R88" s="1604" t="str">
        <x:v>核心目录</x:v>
      </x:c>
      <x:c r="S88" s="1134" t="str">
        <x:v>T2 进阶</x:v>
      </x:c>
      <x:c r="T88" s="784" t="str">
        <x:v>白衣/Hebi及咒印二《究极风暴》动作；兄弟之战继续使用火遁。</x:v>
      </x:c>
      <x:c r="U88" s="1610" t="str">
        <x:v>无</x:v>
      </x:c>
      <x:c r="V88" s="1611" t="str">
        <x:v>本牌不得开启、延长或强化敌人/场景的写轮眼解析。阶段4角色自身红眼常驻属于形态表现，不代表本牌触发易伤解析。</x:v>
      </x:c>
      <x:c r="W88" s="1003" t="str">
        <x:v>合理性：给予另一名玩家力量，适合佐助把火遁与雷遁查克拉压缩后传递给队友，强调支援而不是自身变身。联动：最好给予拥有多段攻击的队友；与 Tank、Demonic Shield 形成“强化队友+保护队友”的多人协作线。</x:v>
      </x:c>
      <x:c r="X88" s="1003" t="str">
        <x:v>强度定位：T2 进阶。稀有度=罕见，费用=2，效果核心为“给予另一名玩家5点力量。”。中等数值或机制启动牌；使用进阶剑术、火遁、雷遁、忍具或咒印一阶段等表达，但避免最高奥义措辞。 因此采用“火遁·查克拉传递”，避免名称强度高于或低于卡牌实际表现。</x:v>
      </x:c>
      <x:c r="Y88" s="1002" t="str">
        <x:v>Fire Release: Great Fireball Technique / 火遁・豪火球の術</x:v>
      </x:c>
      <x:c r="Z88" s="1004" t="str">
        <x:v>原作、动画、究极风暴</x:v>
      </x:c>
      <x:c r="AA88" s="587" t="str">
        <x:v>面板名“火遁·查克拉传递”保留“火遁·豪火球之术”的核心识别词或完整正式名。新增后缀仅用于反映卡牌机制与区分动作，不冒充新的官方招式。</x:v>
      </x:c>
      <x:c r="AB88" s="587" t="str">
        <x:v>https://naruto-ultimate-ninja-storm.fandom.com/wiki/Sasuke_Uchiha/Move_List</x:v>
      </x:c>
      <x:c r="AC88" s="572" t="str">
        <x:v>否</x:v>
      </x:c>
      <x:c r="AD88" s="573" t="str">
        <x:v>—</x:v>
      </x:c>
      <x:c r="AE88" s="587" t="str">
        <x:v>研究用候选ID；待最新 public-beta 本地审计</x:v>
      </x:c>
      <x:c r="AF88" s="573" t="str">
        <x:v>https://slaythespire.wiki.gg/wiki/Module%3ACards/StS2_data/Ironclad</x:v>
      </x:c>
      <x:c r="AG88" s="1563"/>
      <x:c r="AH88" s="573" t="str">
        <x:v>https://slaythespire.wiki.gg/wiki/Module%3ACards/StS2_data/Ironclad</x:v>
      </x:c>
      <x:c r="AI88" s="1292"/>
    </x:row>
    <x:row r="89" ht="106" customHeight="1">
      <x:c r="A89" s="1562" t="n">
        <x:v>85</x:v>
      </x:c>
      <x:c r="B89" s="572" t="str">
        <x:v>战士多人卡</x:v>
      </x:c>
      <x:c r="C89" s="573" t="str">
        <x:v>恶魔之盾</x:v>
      </x:c>
      <x:c r="D89" s="572" t="str">
        <x:v>DemonicShield</x:v>
      </x:c>
      <x:c r="E89" s="573" t="str">
        <x:v>Demonic Shield</x:v>
      </x:c>
      <x:c r="F89" s="572" t="str">
        <x:v>罕见</x:v>
      </x:c>
      <x:c r="G89" s="572" t="str">
        <x:v>0</x:v>
      </x:c>
      <x:c r="H89" s="572" t="str">
        <x:v>技能</x:v>
      </x:c>
      <x:c r="I89" s="573" t="str">
        <x:v>失去1点生命；给予另一名玩家等同于自身当前格挡的格挡；消耗。</x:v>
      </x:c>
      <x:c r="J89" s="573" t="str">
        <x:v>失去1点生命；给予另一名玩家等同于自身当前格挡的格挡；不再消耗。</x:v>
      </x:c>
      <x:c r="K89" s="573" t="str">
        <x:v>多人；自损；队友格挡；消耗；战损阈值</x:v>
      </x:c>
      <x:c r="L89" s="573" t="str">
        <x:v>卡池=战士多人卡；类型=技能；稀有度=罕见；费用=0；目标=另一名玩家/自身；基础效果=失去1点生命；给予另一名玩家等同于自身当前格挡的格挡；消耗。；升级效果=失去1点生命；给予另一名玩家等同于自身当前格挡的格挡；不再消耗。；关键词=多人；自损；队友格挡；消耗；战损阈值</x:v>
      </x:c>
      <x:c r="M89" s="572" t="n">
        <x:v>0</x:v>
      </x:c>
      <x:c r="N89" s="573" t="str">
        <x:v>0（未发现开服后官方稀有度变更记录）</x:v>
      </x:c>
      <x:c r="O89" s="1597" t="str">
        <x:v>咒印二·翼盾转护</x:v>
      </x:c>
      <x:c r="P89" s="1602" t="str">
        <x:v>天之咒印·状态二</x:v>
      </x:c>
      <x:c r="Q89" s="1603" t="str">
        <x:v>原著识别型项目命名（基于“天之咒印·状态二”）</x:v>
      </x:c>
      <x:c r="R89" s="1604" t="str">
        <x:v>核心目录</x:v>
      </x:c>
      <x:c r="S89" s="1134" t="str">
        <x:v>T3 高阶</x:v>
      </x:c>
      <x:c r="T89" s="784" t="str">
        <x:v>咒印二完整形态，包含双翼、飞行、翼防御和黑色千鸟表现。</x:v>
      </x:c>
      <x:c r="U89" s="1610" t="str">
        <x:v>无</x:v>
      </x:c>
      <x:c r="V89" s="1611" t="str">
        <x:v>本牌不得开启、延长或强化敌人/场景的写轮眼解析。阶段4角色自身红眼常驻属于形态表现，不代表本牌触发易伤解析。</x:v>
      </x:c>
      <x:c r="W89" s="1003" t="str">
        <x:v>合理性：失去生命并把自身当前格挡复制给队友，适合咒印翼从自身防线分出一道翼影包裹同伴。联动：先用 Barricade、Impervious、Unmovable、Flame Barrier 堆高格挡，再传给队友；自损同时触发 Rupture、Spite、Tear Asunder 和战损阈值。</x:v>
      </x:c>
      <x:c r="X89" s="1003" t="str">
        <x:v>强度定位：T3 高阶。稀有度=罕见，费用=0，效果核心为“失去1点生命；给予另一名玩家等同于自身当前格挡的格挡；消耗。”。稀有度、数值或联动价值较高；使用高阶草薙剑、千鸟变化、蛇术或强协同名称，但不占用最终变身/终结名。 因此采用“咒印二·翼盾转护”，避免名称强度高于或低于卡牌实际表现。</x:v>
      </x:c>
      <x:c r="Y89" s="1002" t="str">
        <x:v>Cursed Seal of Heaven — Level 2 / 天の呪印・状態2</x:v>
      </x:c>
      <x:c r="Z89" s="1004" t="str">
        <x:v>原作状态、究极风暴、火影忍者手游</x:v>
      </x:c>
      <x:c r="AA89" s="587" t="str">
        <x:v>面板名“咒印二·翼盾转护”保留“天之咒印·状态二”的核心识别词或完整正式名。新增后缀仅用于反映卡牌机制与区分动作，不冒充新的官方招式。</x:v>
      </x:c>
      <x:c r="AB89" s="587" t="str">
        <x:v>https://naruto.fandom.com/wiki/Cursed_Seal_of_Heaven</x:v>
      </x:c>
      <x:c r="AC89" s="572" t="str">
        <x:v>否</x:v>
      </x:c>
      <x:c r="AD89" s="573" t="str">
        <x:v>—</x:v>
      </x:c>
      <x:c r="AE89" s="587" t="str">
        <x:v>研究用候选ID；待最新 public-beta 本地审计</x:v>
      </x:c>
      <x:c r="AF89" s="573" t="str">
        <x:v>https://slaythespire.wiki.gg/wiki/Module%3ACards/StS2_data/Ironclad</x:v>
      </x:c>
      <x:c r="AG89" s="1563"/>
      <x:c r="AH89" s="573" t="str">
        <x:v>https://slaythespire.wiki.gg/wiki/Module%3ACards/StS2_data/Ironclad</x:v>
      </x:c>
      <x:c r="AI89" s="1292"/>
    </x:row>
    <x:row r="90" ht="106" customHeight="1">
      <x:c r="A90" s="1562" t="n">
        <x:v>86</x:v>
      </x:c>
      <x:c r="B90" s="572" t="str">
        <x:v>战士多人卡</x:v>
      </x:c>
      <x:c r="C90" s="573" t="str">
        <x:v>暴怒</x:v>
      </x:c>
      <x:c r="D90" s="572" t="str">
        <x:v>Outrage</x:v>
      </x:c>
      <x:c r="E90" s="573" t="str">
        <x:v>Outrage</x:v>
      </x:c>
      <x:c r="F90" s="572" t="str">
        <x:v>罕见</x:v>
      </x:c>
      <x:c r="G90" s="572" t="str">
        <x:v>0</x:v>
      </x:c>
      <x:c r="H90" s="572" t="str">
        <x:v>攻击</x:v>
      </x:c>
      <x:c r="I90" s="573" t="str">
        <x:v>造成9点伤害；向所有玩家的弃牌堆各加入此牌的一张复制。</x:v>
      </x:c>
      <x:c r="J90" s="573" t="str">
        <x:v>造成13点伤害；向所有玩家的弃牌堆各加入此牌的一张复制。</x:v>
      </x:c>
      <x:c r="K90" s="573" t="str">
        <x:v>多人；伤害；全队复制</x:v>
      </x:c>
      <x:c r="L90" s="573" t="str">
        <x:v>卡池=战士多人卡；类型=攻击；稀有度=罕见；费用=0；目标=单体敌人/所有玩家；基础效果=造成9点伤害；向所有玩家的弃牌堆各加入此牌的一张复制。；升级效果=造成13点伤害；向所有玩家的弃牌堆各加入此牌的一张复制。；关键词=多人；伤害；全队复制</x:v>
      </x:c>
      <x:c r="M90" s="572" t="n">
        <x:v>0</x:v>
      </x:c>
      <x:c r="N90" s="573" t="str">
        <x:v>0（未发现开服后官方稀有度变更记录）</x:v>
      </x:c>
      <x:c r="O90" s="1597" t="str">
        <x:v>操手里剑·共鸣散射</x:v>
      </x:c>
      <x:c r="P90" s="1602" t="str">
        <x:v>操手里剑之术</x:v>
      </x:c>
      <x:c r="Q90" s="1603" t="str">
        <x:v>原著识别型项目命名（基于“操手里剑之术”）</x:v>
      </x:c>
      <x:c r="R90" s="1604" t="str">
        <x:v>核心目录</x:v>
      </x:c>
      <x:c r="S90" s="1134" t="str">
        <x:v>T3 高阶</x:v>
      </x:c>
      <x:c r="T90" s="784" t="str">
        <x:v>白衣/Hebi对迪达拉战实际使用，首次出现于漫画第358话。</x:v>
      </x:c>
      <x:c r="U90" s="1610" t="str">
        <x:v>无</x:v>
      </x:c>
      <x:c r="V90" s="1611" t="str">
        <x:v>本牌不得开启、延长或强化敌人/场景的写轮眼解析。阶段4角色自身红眼常驻属于形态表现，不代表本牌触发易伤解析。</x:v>
      </x:c>
      <x:c r="W90" s="1003" t="str">
        <x:v>合理性：攻击后把复制送入所有玩家弃牌堆，可表现为佐助投出的手里剑轨迹分裂成多个共鸣印记，供队友之后再次调用。联动：与 Blaze 的力量支援提高团队攻击轮次，复制牌也可被消耗以推进 Midnight。</x:v>
      </x:c>
      <x:c r="X90" s="1003" t="str">
        <x:v>强度定位：T3 高阶。稀有度=罕见，费用=0，效果核心为“造成9点伤害；向所有玩家的弃牌堆各加入此牌的一张复制。”。稀有度、数值或联动价值较高；使用高阶草薙剑、千鸟变化、蛇术或强协同名称，但不占用最终变身/终结名。 因此采用“操手里剑·共鸣散射”，避免名称强度高于或低于卡牌实际表现。</x:v>
      </x:c>
      <x:c r="Y90" s="1002" t="str">
        <x:v>Manipulated Shuriken Technique / 操手裏剣の術</x:v>
      </x:c>
      <x:c r="Z90" s="1004" t="str">
        <x:v>原作漫画、动画、火影忍者手游</x:v>
      </x:c>
      <x:c r="AA90" s="587" t="str">
        <x:v>面板名“操手里剑·共鸣散射”保留“操手里剑之术”的核心识别词或完整正式名。新增后缀仅用于反映卡牌机制与区分动作，不冒充新的官方招式。</x:v>
      </x:c>
      <x:c r="AB90" s="587" t="str">
        <x:v>https://naruto.fandom.com/wiki/Manipulated_Shuriken_Technique</x:v>
      </x:c>
      <x:c r="AC90" s="572" t="str">
        <x:v>否</x:v>
      </x:c>
      <x:c r="AD90" s="573" t="str">
        <x:v>—</x:v>
      </x:c>
      <x:c r="AE90" s="587" t="str">
        <x:v>研究用候选ID；待最新 public-beta 本地审计</x:v>
      </x:c>
      <x:c r="AF90" s="573" t="str">
        <x:v>https://slaythespire.wiki.gg/wiki/Module%3ACards/StS2_data/Ironclad</x:v>
      </x:c>
      <x:c r="AG90" s="1563"/>
      <x:c r="AH90" s="573" t="str">
        <x:v>https://slaythespire.wiki.gg/wiki/Module%3ACards/StS2_data/Ironclad</x:v>
      </x:c>
      <x:c r="AI90" s="1292"/>
    </x:row>
    <x:row r="91" ht="106" customHeight="1">
      <x:c r="A91" s="1562" t="n">
        <x:v>87</x:v>
      </x:c>
      <x:c r="B91" s="572" t="str">
        <x:v>战士多人卡</x:v>
      </x:c>
      <x:c r="C91" s="573" t="str">
        <x:v>午夜</x:v>
      </x:c>
      <x:c r="D91" s="572" t="str">
        <x:v>Midnight</x:v>
      </x:c>
      <x:c r="E91" s="573" t="str">
        <x:v>Midnight</x:v>
      </x:c>
      <x:c r="F91" s="572" t="str">
        <x:v>稀有</x:v>
      </x:c>
      <x:c r="G91" s="572" t="str">
        <x:v>12</x:v>
      </x:c>
      <x:c r="H91" s="572" t="str">
        <x:v>攻击</x:v>
      </x:c>
      <x:c r="I91" s="573" t="str">
        <x:v>造成60点伤害；本场战斗中所有玩家每消耗1张牌，此牌费用降低1。</x:v>
      </x:c>
      <x:c r="J91" s="573" t="str">
        <x:v>造成72点伤害；费用降低规则不变。</x:v>
      </x:c>
      <x:c r="K91" s="573" t="str">
        <x:v>多人；全队消耗计数；终结技；临时形态转化</x:v>
      </x:c>
      <x:c r="L91" s="573" t="str">
        <x:v>卡池=战士多人卡；类型=攻击；稀有度=稀有；费用=12；目标=单体敌人；基础效果=造成60点伤害；本场战斗中所有玩家每消耗1张牌，此牌费用降低1。；升级效果=造成72点伤害；费用降低规则不变。；关键词=多人；全队消耗计数；终结技；临时形态转化</x:v>
      </x:c>
      <x:c r="M91" s="572" t="n">
        <x:v>0</x:v>
      </x:c>
      <x:c r="N91" s="573" t="str">
        <x:v>0（未发现开服后官方稀有度变更记录）</x:v>
      </x:c>
      <x:c r="O91" s="1597" t="str">
        <x:v>麒麟</x:v>
      </x:c>
      <x:c r="P91" s="1602" t="str">
        <x:v>麒麟</x:v>
      </x:c>
      <x:c r="Q91" s="1603" t="str">
        <x:v>正式招式名原样采用</x:v>
      </x:c>
      <x:c r="R91" s="1604" t="str">
        <x:v>核心目录</x:v>
      </x:c>
      <x:c r="S91" s="1134" t="str">
        <x:v>T5 变身/终极</x:v>
      </x:c>
      <x:c r="T91" s="784" t="str">
        <x:v>兄弟之战对鼬实际发动的最高终结术。</x:v>
      </x:c>
      <x:c r="U91" s="1610" t="str">
        <x:v>无</x:v>
      </x:c>
      <x:c r="V91" s="1611" t="str">
        <x:v>本牌不得开启、延长或强化敌人/场景的写轮眼解析。阶段4角色自身红眼常驻属于形态表现，不代表本牌触发易伤解析。</x:v>
      </x:c>
      <x:c r="W91" s="1003" t="str">
        <x:v>合理性：全队每消耗一张牌就降低费用，最终造成超高单体伤害，适合汇聚全队献祭产生的查克拉后临时进入咒印二，发动夜天雷葬。联动：从3A/3B临时进入4A/4B；与所有玩家的 Burning Pact、Second Wind、Fiend Fire、Stoke 等消耗牌联动，Demon Form 存在时维持阶段4。</x:v>
      </x:c>
      <x:c r="X91" s="1003" t="str">
        <x:v>强度定位：T5 变身/终极。稀有度=稀有，费用=12，效果核心为“造成60点伤害；本场战斗中所有玩家每消耗1张牌，此牌费用降低1。”。直接形态转换或全体系最高终结；只保留天之咒印第二状态、羽击千鸟、麒麟等最高级名称。 因此采用“麒麟”，避免名称强度高于或低于卡牌实际表现。</x:v>
      </x:c>
      <x:c r="Y91" s="1002" t="str">
        <x:v>Kirin / 麒麟</x:v>
      </x:c>
      <x:c r="Z91" s="1004" t="str">
        <x:v>原作漫画、动画、究极风暴</x:v>
      </x:c>
      <x:c r="AA91" s="587" t="str">
        <x:v>面板名“麒麟”保留“麒麟”的核心识别词或完整正式名。新增后缀仅用于反映卡牌机制与区分动作，不冒充新的官方招式。</x:v>
      </x:c>
      <x:c r="AB91" s="587" t="str">
        <x:v>https://naruto.fandom.com/wiki/Kirin</x:v>
      </x:c>
      <x:c r="AC91" s="572" t="str">
        <x:v>是（临时）</x:v>
      </x:c>
      <x:c r="AD91" s="573" t="str">
        <x:v>3A→临时4A→3A；3B→临时4B→3B；若已有Demon Form持久4，则动作结束后维持4</x:v>
      </x:c>
      <x:c r="AE91" s="587" t="str">
        <x:v>研究用候选ID；待最新 public-beta 本地审计</x:v>
      </x:c>
      <x:c r="AF91" s="573" t="str">
        <x:v>https://slaythespire.wiki.gg/wiki/Module%3ACards/StS2_data/Ironclad | https://slaythespire.wiki.gg/wiki/Slay_the_Spire_2%3AV0.109.0_-_Beta_Patch</x:v>
      </x:c>
      <x:c r="AG91" s="1563"/>
      <x:c r="AH91" s="573" t="str">
        <x:v>https://slaythespire.wiki.gg/wiki/Module%3ACards/StS2_data/Ironclad | https://slaythespire.wiki.gg/wiki/Slay_the_Spire_2%3AV0.109.0_-_Beta_Patch</x:v>
      </x:c>
      <x:c r="AI91" s="1292"/>
    </x:row>
    <x:row r="92" ht="106" customHeight="1">
      <x:c r="A92" s="1562" t="n">
        <x:v>88</x:v>
      </x:c>
      <x:c r="B92" s="572" t="str">
        <x:v>战士多人卡</x:v>
      </x:c>
      <x:c r="C92" s="573" t="str">
        <x:v>承伤</x:v>
      </x:c>
      <x:c r="D92" s="572" t="str">
        <x:v>Tank</x:v>
      </x:c>
      <x:c r="E92" s="573" t="str">
        <x:v>Tank</x:v>
      </x:c>
      <x:c r="F92" s="572" t="str">
        <x:v>稀有</x:v>
      </x:c>
      <x:c r="G92" s="572" t="str">
        <x:v>1→0</x:v>
      </x:c>
      <x:c r="H92" s="572" t="str">
        <x:v>能力</x:v>
      </x:c>
      <x:c r="I92" s="573" t="str">
        <x:v>受到来自敌人的伤害提高50%；所有队友受到来自敌人的伤害降低50%。</x:v>
      </x:c>
      <x:c r="J92" s="573" t="str">
        <x:v>费用降为0；效果不变。</x:v>
      </x:c>
      <x:c r="K92" s="573" t="str">
        <x:v>多人；承伤；队友减伤；能力</x:v>
      </x:c>
      <x:c r="L92" s="573" t="str">
        <x:v>卡池=战士多人卡；类型=能力；稀有度=稀有；费用=1→0；目标=自身/所有队友；基础效果=受到来自敌人的伤害提高50%；所有队友受到来自敌人的伤害降低50%。；升级效果=费用降为0；效果不变。；关键词=多人；承伤；队友减伤；能力</x:v>
      </x:c>
      <x:c r="M92" s="572" t="n">
        <x:v>0</x:v>
      </x:c>
      <x:c r="N92" s="573" t="str">
        <x:v>0（未发现开服后官方稀有度变更记录）</x:v>
      </x:c>
      <x:c r="O92" s="1597" t="str">
        <x:v>咒印二·双翼庇护</x:v>
      </x:c>
      <x:c r="P92" s="1602" t="str">
        <x:v>天之咒印·状态二</x:v>
      </x:c>
      <x:c r="Q92" s="1603" t="str">
        <x:v>原著识别型项目命名（基于“天之咒印·状态二”）</x:v>
      </x:c>
      <x:c r="R92" s="1604" t="str">
        <x:v>核心目录</x:v>
      </x:c>
      <x:c r="S92" s="1134" t="str">
        <x:v>T4 决战</x:v>
      </x:c>
      <x:c r="T92" s="784" t="str">
        <x:v>咒印二完整形态，包含双翼、飞行、翼防御和黑色千鸟表现。</x:v>
      </x:c>
      <x:c r="U92" s="1610" t="str">
        <x:v>无</x:v>
      </x:c>
      <x:c r="V92" s="1611" t="str">
        <x:v>本牌不得开启、延长或强化敌人/场景的写轮眼解析。阶段4角色自身红眼常驻属于形态表现，不代表本牌触发易伤解析。</x:v>
      </x:c>
      <x:c r="W92" s="1003" t="str">
        <x:v>合理性：自身承受更多敌人伤害、队友承受更少，最适合咒印双翼完全展开，佐助站在队伍前方替所有人承担攻击。联动：与 Barricade、Impervious、Unmovable、Demonic Shield 构成团队防御链；持续受击会触发战损外观，并让 Juggernaut 的格挡反击更有表现空间。</x:v>
      </x:c>
      <x:c r="X92" s="1003" t="str">
        <x:v>强度定位：T4 决战。稀有度=稀有，费用=1→0，效果核心为“受到来自敌人的伤害提高50%；所有队友受到来自敌人的伤害降低50%。”。高费用、高条件、高额数值或回合核心；可使用豪龙火、咒印二防御、禁忌解放等决战级名称。 因此采用“咒印二·双翼庇护”，避免名称强度高于或低于卡牌实际表现。</x:v>
      </x:c>
      <x:c r="Y92" s="1002" t="str">
        <x:v>Cursed Seal of Heaven — Level 2 / 天の呪印・状態2</x:v>
      </x:c>
      <x:c r="Z92" s="1004" t="str">
        <x:v>原作状态、究极风暴、火影忍者手游</x:v>
      </x:c>
      <x:c r="AA92" s="587" t="str">
        <x:v>面板名“咒印二·双翼庇护”保留“天之咒印·状态二”的核心识别词或完整正式名。新增后缀仅用于反映卡牌机制与区分动作，不冒充新的官方招式。</x:v>
      </x:c>
      <x:c r="AB92" s="587" t="str">
        <x:v>https://naruto.fandom.com/wiki/Cursed_Seal_of_Heaven</x:v>
      </x:c>
      <x:c r="AC92" s="572" t="str">
        <x:v>否</x:v>
      </x:c>
      <x:c r="AD92" s="573" t="str">
        <x:v>—</x:v>
      </x:c>
      <x:c r="AE92" s="587" t="str">
        <x:v>研究用候选ID；待最新 public-beta 本地审计</x:v>
      </x:c>
      <x:c r="AF92" s="573" t="str">
        <x:v>https://slaythespire.wiki.gg/wiki/Module%3ACards/StS2_data/Ironclad</x:v>
      </x:c>
      <x:c r="AG92" s="1563"/>
      <x:c r="AH92" s="573" t="str">
        <x:v>https://slaythespire.wiki.gg/wiki/Module%3ACards/StS2_data/Ironclad</x:v>
      </x:c>
      <x:c r="AI92" s="1292"/>
    </x:row>
    <x:row r="93" ht="106" customHeight="1">
      <x:c r="A93" s="1564" t="n">
        <x:v>89</x:v>
      </x:c>
      <x:c r="B93" s="1565" t="str">
        <x:v>战士衍生卡</x:v>
      </x:c>
      <x:c r="C93" s="1566" t="str">
        <x:v>巨石</x:v>
      </x:c>
      <x:c r="D93" s="1565" t="str">
        <x:v>GIANT_ROCK</x:v>
      </x:c>
      <x:c r="E93" s="1566" t="str">
        <x:v>Giant Rock</x:v>
      </x:c>
      <x:c r="F93" s="1565" t="str">
        <x:v>衍生</x:v>
      </x:c>
      <x:c r="G93" s="1565" t="str">
        <x:v>1</x:v>
      </x:c>
      <x:c r="H93" s="1565" t="str">
        <x:v>攻击</x:v>
      </x:c>
      <x:c r="I93" s="1566" t="str">
        <x:v>造成20点伤害。</x:v>
      </x:c>
      <x:c r="J93" s="1566" t="str">
        <x:v>造成24点伤害。</x:v>
      </x:c>
      <x:c r="K93" s="1566" t="str">
        <x:v>衍生；由Primal Force转化生成</x:v>
      </x:c>
      <x:c r="L93" s="1566" t="str">
        <x:v>卡池=战士衍生卡；类型=攻击；稀有度=衍生；费用=1；目标=单体敌人；基础效果=造成20点伤害。；升级效果=造成24点伤害。；关键词=衍生；由Primal Force转化生成</x:v>
      </x:c>
      <x:c r="M93" s="1565" t="n">
        <x:v>0</x:v>
      </x:c>
      <x:c r="N93" s="1566" t="str">
        <x:v>0（未发现开服后官方稀有度变更记录）</x:v>
      </x:c>
      <x:c r="O93" s="1598" t="str">
        <x:v>千鸟锐枪·贯穿</x:v>
      </x:c>
      <x:c r="P93" s="1605" t="str">
        <x:v>千鸟锐枪</x:v>
      </x:c>
      <x:c r="Q93" s="1606" t="str">
        <x:v>原著识别型项目命名（基于“千鸟锐枪”）</x:v>
      </x:c>
      <x:c r="R93" s="1607" t="str">
        <x:v>核心目录</x:v>
      </x:c>
      <x:c r="S93" s="1571" t="str">
        <x:v>T3 高阶</x:v>
      </x:c>
      <x:c r="T93" s="1572" t="str">
        <x:v>白衣/Hebi开发并实际使用的中距离千鸟形态变化。</x:v>
      </x:c>
      <x:c r="U93" s="1612" t="str">
        <x:v>无</x:v>
      </x:c>
      <x:c r="V93" s="1613" t="str">
        <x:v>本牌不得开启、延长或强化敌人/场景的写轮眼解析。阶段4角色自身红眼常驻属于形态表现，不代表本牌触发易伤解析。</x:v>
      </x:c>
      <x:c r="W93" s="1575" t="str">
        <x:v>合理性：它只是由 Primal Force 变化而来的高伤单体攻击，名称无需保留“巨石”；千鸟锐枪·贯穿同样是压缩能量后的直线贯穿技。联动：由 Primal Force 批量生成，可接 One-Two Punch、Unrelenting、Setup Strike，以及 Bash、Thunderclap 等易伤前置完成高伤贯穿。</x:v>
      </x:c>
      <x:c r="X93" s="1575" t="str">
        <x:v>强度定位：T3 高阶。稀有度=衍生，费用=1，效果核心为“造成20点伤害。”。稀有度、数值或联动价值较高；使用高阶草薙剑、千鸟变化、蛇术或强协同名称，但不占用最终变身/终结名。 因此采用“千鸟锐枪·贯穿”，避免名称强度高于或低于卡牌实际表现。</x:v>
      </x:c>
      <x:c r="Y93" s="1576" t="str">
        <x:v>Chidori Sharp Spear / 千鳥鋭槍</x:v>
      </x:c>
      <x:c r="Z93" s="1577" t="str">
        <x:v>原作漫画、动画、究极风暴</x:v>
      </x:c>
      <x:c r="AA93" s="1578" t="str">
        <x:v>面板名“千鸟锐枪·贯穿”保留“千鸟锐枪”的核心识别词或完整正式名。新增后缀仅用于反映卡牌机制与区分动作，不冒充新的官方招式。</x:v>
      </x:c>
      <x:c r="AB93" s="1578" t="str">
        <x:v>https://naruto.fandom.com/wiki/Chidori</x:v>
      </x:c>
      <x:c r="AC93" s="1565" t="str">
        <x:v>否</x:v>
      </x:c>
      <x:c r="AD93" s="1566" t="str">
        <x:v>—</x:v>
      </x:c>
      <x:c r="AE93" s="1578" t="str">
        <x:v>项目现有PROVISIONAL ID；待最新 public-beta 本地审计确认</x:v>
      </x:c>
      <x:c r="AF93" s="1566" t="str">
        <x:v>https://slaythespire.wiki.gg/wiki/Slay_the_Spire_2%3AGiant_Rock | https://slaythespire.wiki.gg/wiki/Slay_the_Spire_2%3AV0.109.0_-_Beta_Patch</x:v>
      </x:c>
      <x:c r="AG93" s="1579"/>
      <x:c r="AH93" s="1266" t="str">
        <x:v>https://slaythespire.wiki.gg/wiki/Slay_the_Spire_2%3AGiant_Rock | https://slaythespire.wiki.gg/wiki/Slay_the_Spire_2%3AV0.109.0_-_Beta_Patch</x:v>
      </x:c>
      <x:c r="AI93" s="1297"/>
    </x:row>
  </x:sheetData>
  <x:mergeCells>
    <x:mergeCell ref="A1:AG1"/>
    <x:mergeCell ref="A2:AG2"/>
    <x:mergeCell ref="A3:AG3"/>
  </x:mergeCells>
  <x:conditionalFormatting sqref="P5:Q93">
    <x:cfRule type="expression" dxfId="5" priority="7">
      <x:formula>$P5&lt;&gt;"否"</x:formula>
    </x:cfRule>
  </x:conditionalFormatting>
  <x:conditionalFormatting sqref="Q5:R93">
    <x:cfRule type="expression" dxfId="11" priority="14">
      <x:formula>$Q5&lt;&gt;"否"</x:formula>
    </x:cfRule>
  </x:conditionalFormatting>
  <x:conditionalFormatting sqref="U5:V93">
    <x:cfRule type="expression" dxfId="17" priority="21">
      <x:formula>$U5&lt;&gt;"否"</x:formula>
    </x:cfRule>
  </x:conditionalFormatting>
  <x:conditionalFormatting sqref="W5:X93">
    <x:cfRule type="expression" dxfId="23" priority="28">
      <x:formula>$W5&lt;&gt;"否"</x:formula>
    </x:cfRule>
  </x:conditionalFormatting>
  <x:conditionalFormatting sqref="P5:P93">
    <x:cfRule type="expression" dxfId="31" priority="34">
      <x:formula>P5="T1 基础"</x:formula>
    </x:cfRule>
    <x:cfRule type="expression" dxfId="32" priority="35">
      <x:formula>P5="T2 进阶"</x:formula>
    </x:cfRule>
    <x:cfRule type="expression" dxfId="33" priority="36">
      <x:formula>P5="T3 高阶"</x:formula>
    </x:cfRule>
    <x:cfRule type="expression" dxfId="34" priority="37">
      <x:formula>P5="T4 决战"</x:formula>
    </x:cfRule>
    <x:cfRule type="expression" dxfId="35" priority="38">
      <x:formula>P5="T5 变身/终极"</x:formula>
    </x:cfRule>
  </x:conditionalFormatting>
  <x:conditionalFormatting sqref="AA5:AB93">
    <x:cfRule type="expression" dxfId="36" priority="40">
      <x:formula>$AA5&lt;&gt;"否"</x:formula>
    </x:cfRule>
  </x:conditionalFormatting>
  <x:conditionalFormatting sqref="AE5:AF93">
    <x:cfRule type="expression" dxfId="50" priority="54">
      <x:formula>$AE5&lt;&gt;"否"</x:formula>
    </x:cfRule>
  </x:conditionalFormatting>
  <x:conditionalFormatting sqref="U5:U93">
    <x:cfRule type="expression" dxfId="51" priority="55">
      <x:formula>U5&lt;&gt;"无"</x:formula>
    </x:cfRule>
    <x:cfRule type="expression" dxfId="60" priority="63">
      <x:formula>U5&lt;&gt;"无"</x:formula>
    </x:cfRule>
  </x:conditionalFormatting>
  <x:conditionalFormatting sqref="F5:F93">
    <x:cfRule type="expression" dxfId="54" priority="56">
      <x:formula>F5="基础"</x:formula>
    </x:cfRule>
    <x:cfRule type="expression" dxfId="55" priority="57">
      <x:formula>F5="普通"</x:formula>
    </x:cfRule>
    <x:cfRule type="expression" dxfId="56" priority="58">
      <x:formula>F5="罕见"</x:formula>
    </x:cfRule>
    <x:cfRule type="expression" dxfId="57" priority="59">
      <x:formula>F5="稀有"</x:formula>
    </x:cfRule>
    <x:cfRule type="expression" dxfId="58" priority="60">
      <x:formula>F5="衍生"</x:formula>
    </x:cfRule>
  </x:conditionalFormatting>
  <x:conditionalFormatting sqref="M5:M93">
    <x:cfRule type="dataBar" priority="61">
      <x:dataBar>
        <x:cfvo type="min"/>
        <x:cfvo type="max"/>
        <x:color rgb="FFA855F7"/>
      </x:dataBar>
      <x:extLst>
        <x:ext xmlns:x14="http://schemas.microsoft.com/office/spreadsheetml/2009/9/main" uri="{B025F937-C7B1-47D3-B67F-A62EFF666E3E}">
          <x14:id>{D4DC5325-A9C9-5AC7-9259-BD63A210D51A}</x14:id>
        </x:ext>
      </x:extLst>
    </x:cfRule>
  </x:conditionalFormatting>
  <x:conditionalFormatting sqref="AC5:AD93">
    <x:cfRule type="expression" dxfId="59" priority="62">
      <x:formula>$AC5&lt;&gt;"否"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04736b2a0840d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1" id="{D4DC5325-A9C9-5AC7-9259-BD63A210D51A}">
            <x14:dataBar gradient="1">
              <x14:cfvo type="min"/>
              <x14:cfvo type="max"/>
              <x14:fillColor rgb="FFA855F7"/>
            </x14:dataBar>
          </x14:cfRule>
          <xm:sqref>M5:M93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说明与统计</x:v>
      </x:c>
      <x:c r="B1" s="5"/>
      <x:c r="C1" s="5"/>
      <x:c r="D1" s="5"/>
      <x:c r="E1" s="5"/>
      <x:c r="F1" s="5"/>
      <x:c r="G1" s="5"/>
      <x:c r="H1" s="5"/>
    </x:row>
    <x:row r="3">
      <x:c r="A3" s="455" t="str">
        <x:v>总记录数</x:v>
      </x:c>
      <x:c r="B3" s="456"/>
      <x:c r="C3" s="475" t="str">
        <x:v>战士普通卡</x:v>
      </x:c>
      <x:c r="D3" s="476"/>
      <x:c r="E3" s="495" t="str">
        <x:v>战士多人卡</x:v>
      </x:c>
      <x:c r="F3" s="496"/>
      <x:c r="G3" s="515" t="str">
        <x:v>阶段转换卡</x:v>
      </x:c>
      <x:c r="H3" s="516"/>
    </x:row>
    <x:row r="4">
      <x:c r="A4" s="465" t="n">
        <x:f>COUNTA('卡牌总表'!$D$5:$D$93)</x:f>
        <x:v>89</x:v>
      </x:c>
      <x:c r="B4" s="466"/>
      <x:c r="C4" s="485" t="n">
        <x:f>COUNTIF('卡牌总表'!$B$5:$B$93,"战士普通卡")</x:f>
        <x:v>80</x:v>
      </x:c>
      <x:c r="D4" s="486"/>
      <x:c r="E4" s="505" t="n">
        <x:f>COUNTIF('卡牌总表'!$B$5:$B$93,"战士多人卡")</x:f>
        <x:v>5</x:v>
      </x:c>
      <x:c r="F4" s="506"/>
      <x:c r="G4" s="525" t="n">
        <x:f>COUNTIF('卡牌总表'!$AC$5:$AC$93,"&lt;&gt;否")</x:f>
        <x:v>4</x:v>
      </x:c>
      <x:c r="H4" s="526"/>
    </x:row>
    <x:row r="5">
      <x:c r="A5" s="463"/>
      <x:c r="B5" s="464"/>
      <x:c r="C5" s="483"/>
      <x:c r="D5" s="484"/>
      <x:c r="E5" s="503"/>
      <x:c r="F5" s="504"/>
      <x:c r="G5" s="523"/>
      <x:c r="H5" s="524"/>
    </x:row>
    <x:row r="7">
      <x:c r="A7" s="344" t="str">
        <x:v>稀有度</x:v>
      </x:c>
      <x:c r="B7" s="344" t="str">
        <x:v>数量</x:v>
      </x:c>
      <x:c r="D7" s="361" t="str">
        <x:v>阶段与数据口径</x:v>
      </x:c>
      <x:c r="E7" s="361"/>
      <x:c r="F7" s="361"/>
      <x:c r="G7" s="361"/>
      <x:c r="H7" s="361"/>
    </x:row>
    <x:row r="8" ht="34" customHeight="1">
      <x:c r="A8" s="348" t="str">
        <x:v>基础</x:v>
      </x:c>
      <x:c r="B8" s="349" t="n">
        <x:f>COUNTIF('卡牌总表'!$F$5:$F$93,A8)</x:f>
        <x:v>3</x:v>
      </x:c>
      <x:c r="D8" s="374" t="str">
        <x:v>阶段3</x:v>
      </x:c>
      <x:c r="E8" s="375" t="str">
        <x:v>兄弟之战紫衣佐助；3A正常、3B战损。</x:v>
      </x:c>
      <x:c r="F8" s="375" t="str"/>
      <x:c r="G8" s="375" t="str"/>
      <x:c r="H8" s="376" t="str"/>
    </x:row>
    <x:row r="9" ht="34" customHeight="1">
      <x:c r="A9" s="350" t="str">
        <x:v>普通</x:v>
      </x:c>
      <x:c r="B9" s="351" t="n">
        <x:f>COUNTIF('卡牌总表'!$F$5:$F$93,A9)</x:f>
        <x:v>20</x:v>
      </x:c>
      <x:c r="D9" s="377" t="str">
        <x:v>阶段4</x:v>
      </x:c>
      <x:c r="E9" s="372" t="str">
        <x:v>兄弟之战紫衣·咒印二；4A正常、4B战损。</x:v>
      </x:c>
      <x:c r="F9" s="372" t="str"/>
      <x:c r="G9" s="372" t="str"/>
      <x:c r="H9" s="378" t="str"/>
    </x:row>
    <x:row r="10" ht="34" customHeight="1">
      <x:c r="A10" s="350" t="str">
        <x:v>罕见</x:v>
      </x:c>
      <x:c r="B10" s="351" t="n">
        <x:f>COUNTIF('卡牌总表'!$F$5:$F$93,A10)</x:f>
        <x:v>38</x:v>
      </x:c>
      <x:c r="D10" s="377" t="str">
        <x:v>战损判定</x:v>
      </x:c>
      <x:c r="E10" s="372" t="str">
        <x:v>生命值首次低于50%后，本场战斗保持战损美化；下一场战斗重置。</x:v>
      </x:c>
      <x:c r="F10" s="372" t="str"/>
      <x:c r="G10" s="372" t="str"/>
      <x:c r="H10" s="378" t="str"/>
    </x:row>
    <x:row r="11" ht="34" customHeight="1">
      <x:c r="A11" s="350" t="str">
        <x:v>稀有</x:v>
      </x:c>
      <x:c r="B11" s="351" t="n">
        <x:f>COUNTIF('卡牌总表'!$F$5:$F$93,A11)</x:f>
        <x:v>27</x:v>
      </x:c>
      <x:c r="D11" s="377" t="str">
        <x:v>战斗结束</x:v>
      </x:c>
      <x:c r="E11" s="372" t="str">
        <x:v>不立即重置形态；胜利/结算保持结束形态，下一场开始重置3A。</x:v>
      </x:c>
      <x:c r="F11" s="372" t="str"/>
      <x:c r="G11" s="372" t="str"/>
      <x:c r="H11" s="378" t="str"/>
    </x:row>
    <x:row r="12" ht="34" customHeight="1">
      <x:c r="A12" s="352" t="str">
        <x:v>衍生</x:v>
      </x:c>
      <x:c r="B12" s="353" t="n">
        <x:f>COUNTIF('卡牌总表'!$F$5:$F$93,A12)</x:f>
        <x:v>1</x:v>
      </x:c>
      <x:c r="D12" s="377" t="str">
        <x:v>稀有度次数</x:v>
      </x:c>
      <x:c r="E12" s="372" t="str">
        <x:v>仅计算2026-03-05开服以来官方补丁明确记录的稀有度迁移；新卡加入不计为变更。</x:v>
      </x:c>
      <x:c r="F12" s="372" t="str"/>
      <x:c r="G12" s="372" t="str"/>
      <x:c r="H12" s="378" t="str"/>
    </x:row>
    <x:row r="13" ht="34" customHeight="1">
      <x:c r="D13" s="379" t="str">
        <x:v>card_id</x:v>
      </x:c>
      <x:c r="E13" s="380" t="str">
        <x:v>当前为研究候选ID。仓库仍要求最新public-beta本地双次审计后才能标记VERIFIED。</x:v>
      </x:c>
      <x:c r="F13" s="380" t="str"/>
      <x:c r="G13" s="380" t="str"/>
      <x:c r="H13" s="381" t="str"/>
    </x:row>
    <x:row r="14" ht="84" customHeight="1">
      <x:c r="D14" s="602" t="str">
        <x:v>Web遗漏复核结果</x:v>
      </x:c>
      <x:c r="E14" s="603" t="str">
        <x:v>本次Web复核确认新增“白蛇之力”和“火遁·凤仙火之术”。雷光剑化是通灵·雷光剑化的英文游戏名，千鸟刀是草薙剑·千鸟刀的简称，黑千鸟对应羽击千鸟，均不重复建项。影分身之术缺少限定时期使用证据；蛇分身与手里剑影分身并非佐助招式，已明确排除。</x:v>
      </x:c>
      <x:c r="F14" s="603"/>
      <x:c r="G14" s="603"/>
      <x:c r="H14" s="604"/>
    </x:row>
    <x:row r="15">
      <x:c r="A15" s="361" t="str">
        <x:v>主要资料来源</x:v>
      </x:c>
      <x:c r="B15" s="361"/>
      <x:c r="C15" s="361"/>
      <x:c r="D15" s="361"/>
      <x:c r="E15" s="361"/>
      <x:c r="F15" s="361"/>
      <x:c r="G15" s="361"/>
      <x:c r="H15" s="361"/>
    </x:row>
    <x:row r="16" ht="26" customHeight="1">
      <x:c r="A16" s="408" t="str">
        <x:v>当前卡牌字段</x:v>
      </x:c>
      <x:c r="B16" s="375" t="str">
        <x:v>https://slaythespire.wiki.gg/wiki/Module%3ACards/StS2_data/Ironclad</x:v>
      </x:c>
      <x:c r="C16" s="375" t="str"/>
      <x:c r="D16" s="375" t="str"/>
      <x:c r="E16" s="375" t="str"/>
      <x:c r="F16" s="375" t="str"/>
      <x:c r="G16" s="375" t="str"/>
      <x:c r="H16" s="376" t="str"/>
    </x:row>
    <x:row r="17" ht="26" customHeight="1">
      <x:c r="A17" s="409" t="str">
        <x:v>当前完整卡池</x:v>
      </x:c>
      <x:c r="B17" s="372" t="str">
        <x:v>https://slaythespire.wiki.gg/wiki/Slay_the_Spire_2%3AIronclad</x:v>
      </x:c>
      <x:c r="C17" s="372" t="str"/>
      <x:c r="D17" s="372" t="str"/>
      <x:c r="E17" s="372" t="str"/>
      <x:c r="F17" s="372" t="str"/>
      <x:c r="G17" s="372" t="str"/>
      <x:c r="H17" s="378" t="str"/>
    </x:row>
    <x:row r="18" ht="26" customHeight="1">
      <x:c r="A18" s="409" t="str">
        <x:v>v0.109.0稀有度/平衡变更</x:v>
      </x:c>
      <x:c r="B18" s="372" t="str">
        <x:v>https://slaythespire.wiki.gg/wiki/Slay_the_Spire_2%3AV0.109.0_-_Beta_Patch</x:v>
      </x:c>
      <x:c r="C18" s="372" t="str"/>
      <x:c r="D18" s="372" t="str"/>
      <x:c r="E18" s="372" t="str"/>
      <x:c r="F18" s="372" t="str"/>
      <x:c r="G18" s="372" t="str"/>
      <x:c r="H18" s="378" t="str"/>
    </x:row>
    <x:row r="19" ht="26" customHeight="1">
      <x:c r="A19" s="409" t="str">
        <x:v>v0.107.0 Juggernaut变更</x:v>
      </x:c>
      <x:c r="B19" s="372" t="str">
        <x:v>https://slaythespire.wiki.gg/wiki/Slay_the_Spire_2%3AV0.107.0_-_Beta_Patch</x:v>
      </x:c>
      <x:c r="C19" s="372" t="str"/>
      <x:c r="D19" s="372" t="str"/>
      <x:c r="E19" s="372" t="str"/>
      <x:c r="F19" s="372" t="str"/>
      <x:c r="G19" s="372" t="str"/>
      <x:c r="H19" s="378" t="str"/>
    </x:row>
    <x:row r="20" ht="26" customHeight="1">
      <x:c r="A20" s="409" t="str">
        <x:v>v0.103.0 Colossus变更</x:v>
      </x:c>
      <x:c r="B20" s="372" t="str">
        <x:v>https://slaythespire.wiki.gg/wiki/Slay_the_Spire_2%3AV0.103.0_-_Beta_Patch</x:v>
      </x:c>
      <x:c r="C20" s="372" t="str"/>
      <x:c r="D20" s="372" t="str"/>
      <x:c r="E20" s="372" t="str"/>
      <x:c r="F20" s="372" t="str"/>
      <x:c r="G20" s="372" t="str"/>
      <x:c r="H20" s="378" t="str"/>
    </x:row>
    <x:row r="21" ht="26" customHeight="1">
      <x:c r="A21" s="410" t="str">
        <x:v>开服基线</x:v>
      </x:c>
      <x:c r="B21" s="380" t="str">
        <x:v>https://steamdb.info/patchnotes/21660432/</x:v>
      </x:c>
      <x:c r="C21" s="380" t="str"/>
      <x:c r="D21" s="380" t="str"/>
      <x:c r="E21" s="380" t="str"/>
      <x:c r="F21" s="380" t="str"/>
      <x:c r="G21" s="380" t="str"/>
      <x:c r="H21" s="381" t="str"/>
    </x:row>
  </x:sheetData>
  <x:mergeCells>
    <x:mergeCell ref="A1:H1"/>
    <x:mergeCell ref="D7:H7"/>
    <x:mergeCell ref="E8:H8"/>
    <x:mergeCell ref="E9:H9"/>
    <x:mergeCell ref="E10:H10"/>
    <x:mergeCell ref="E11:H11"/>
    <x:mergeCell ref="E12:H12"/>
    <x:mergeCell ref="E13:H13"/>
    <x:mergeCell ref="A15:H15"/>
    <x:mergeCell ref="B16:H16"/>
    <x:mergeCell ref="B17:H17"/>
    <x:mergeCell ref="B18:H18"/>
    <x:mergeCell ref="B19:H19"/>
    <x:mergeCell ref="B20:H20"/>
    <x:mergeCell ref="B21:H21"/>
    <x:mergeCell ref="A3:B3"/>
    <x:mergeCell ref="A4:B5"/>
    <x:mergeCell ref="C3:D3"/>
    <x:mergeCell ref="C4:D5"/>
    <x:mergeCell ref="E3:F3"/>
    <x:mergeCell ref="E4:F5"/>
    <x:mergeCell ref="G3:H3"/>
    <x:mergeCell ref="G4:H5"/>
    <x:mergeCell ref="E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22" hidden="0" customWidth="1"/>
    <x:col min="8" max="8" width="48" hidden="0" customWidth="1"/>
  </x:cols>
  <x:sheetData>
    <x:row r="1">
      <x:c r="A1" s="429" t="str">
        <x:v>战士卡牌稀有度变更记录（开服以来）</x:v>
      </x:c>
      <x:c r="B1" s="429"/>
      <x:c r="C1" s="429"/>
      <x:c r="D1" s="429"/>
      <x:c r="E1" s="429"/>
      <x:c r="F1" s="429"/>
      <x:c r="G1" s="429"/>
      <x:c r="H1" s="429"/>
    </x:row>
    <x:row r="3">
      <x:c r="A3" s="438" t="str">
        <x:v>英文名称</x:v>
      </x:c>
      <x:c r="B3" s="439" t="str">
        <x:v>card_id（候选）</x:v>
      </x:c>
      <x:c r="C3" s="439" t="str">
        <x:v>变更次数</x:v>
      </x:c>
      <x:c r="D3" s="439" t="str">
        <x:v>原稀有度</x:v>
      </x:c>
      <x:c r="E3" s="439" t="str">
        <x:v>当前稀有度</x:v>
      </x:c>
      <x:c r="F3" s="439" t="str">
        <x:v>补丁版本</x:v>
      </x:c>
      <x:c r="G3" s="439" t="str">
        <x:v>变更说明</x:v>
      </x:c>
      <x:c r="H3" s="440" t="str">
        <x:v>来源URL</x:v>
      </x:c>
    </x:row>
    <x:row r="4" ht="34" customHeight="1">
      <x:c r="A4" s="441" t="str">
        <x:v>Colossus</x:v>
      </x:c>
      <x:c r="B4" s="372" t="str">
        <x:v>Colossus</x:v>
      </x:c>
      <x:c r="C4" s="372" t="n">
        <x:v>1</x:v>
      </x:c>
      <x:c r="D4" s="372" t="str">
        <x:v>稀有</x:v>
      </x:c>
      <x:c r="E4" s="372" t="str">
        <x:v>罕见</x:v>
      </x:c>
      <x:c r="F4" s="372" t="str">
        <x:v>v0.103.0</x:v>
      </x:c>
      <x:c r="G4" s="372" t="str">
        <x:v>稀有→罕见</x:v>
      </x:c>
      <x:c r="H4" s="378" t="str">
        <x:v>https://slaythespire.wiki.gg/wiki/Slay_the_Spire_2%3AV0.103.0_-_Beta_Patch</x:v>
      </x:c>
    </x:row>
    <x:row r="5" ht="34" customHeight="1">
      <x:c r="A5" s="441" t="str">
        <x:v>Taunt</x:v>
      </x:c>
      <x:c r="B5" s="372" t="str">
        <x:v>Taunt</x:v>
      </x:c>
      <x:c r="C5" s="372" t="n">
        <x:v>1</x:v>
      </x:c>
      <x:c r="D5" s="372" t="str">
        <x:v>罕见</x:v>
      </x:c>
      <x:c r="E5" s="372" t="str">
        <x:v>普通</x:v>
      </x:c>
      <x:c r="F5" s="372" t="str">
        <x:v>v0.109.0</x:v>
      </x:c>
      <x:c r="G5" s="372" t="str">
        <x:v>罕见→普通</x:v>
      </x:c>
      <x:c r="H5" s="378" t="str">
        <x:v>https://slaythespire.wiki.gg/wiki/Slay_the_Spire_2%3AV0.109.0_-_Beta_Patch</x:v>
      </x:c>
    </x:row>
    <x:row r="6" ht="34" customHeight="1">
      <x:c r="A6" s="441" t="str">
        <x:v>Bloodletting</x:v>
      </x:c>
      <x:c r="B6" s="372" t="str">
        <x:v>Bloodletting</x:v>
      </x:c>
      <x:c r="C6" s="372" t="n">
        <x:v>1</x:v>
      </x:c>
      <x:c r="D6" s="372" t="str">
        <x:v>普通</x:v>
      </x:c>
      <x:c r="E6" s="372" t="str">
        <x:v>罕见</x:v>
      </x:c>
      <x:c r="F6" s="372" t="str">
        <x:v>v0.109.0</x:v>
      </x:c>
      <x:c r="G6" s="372" t="str">
        <x:v>普通→罕见</x:v>
      </x:c>
      <x:c r="H6" s="378" t="str">
        <x:v>https://slaythespire.wiki.gg/wiki/Slay_the_Spire_2%3AV0.109.0_-_Beta_Patch</x:v>
      </x:c>
    </x:row>
    <x:row r="7" ht="34" customHeight="1">
      <x:c r="A7" s="441" t="str">
        <x:v>Cruelty</x:v>
      </x:c>
      <x:c r="B7" s="372" t="str">
        <x:v>Cruelty</x:v>
      </x:c>
      <x:c r="C7" s="372" t="n">
        <x:v>1</x:v>
      </x:c>
      <x:c r="D7" s="372" t="str">
        <x:v>稀有</x:v>
      </x:c>
      <x:c r="E7" s="372" t="str">
        <x:v>罕见</x:v>
      </x:c>
      <x:c r="F7" s="372" t="str">
        <x:v>v0.109.0</x:v>
      </x:c>
      <x:c r="G7" s="372" t="str">
        <x:v>稀有→罕见</x:v>
      </x:c>
      <x:c r="H7" s="378" t="str">
        <x:v>https://slaythespire.wiki.gg/wiki/Slay_the_Spire_2%3AV0.109.0_-_Beta_Patch</x:v>
      </x:c>
    </x:row>
    <x:row r="8" ht="34" customHeight="1">
      <x:c r="A8" s="442" t="str">
        <x:v>Dominate</x:v>
      </x:c>
      <x:c r="B8" s="380" t="str">
        <x:v>Dominate</x:v>
      </x:c>
      <x:c r="C8" s="380" t="n">
        <x:v>1</x:v>
      </x:c>
      <x:c r="D8" s="380" t="str">
        <x:v>罕见</x:v>
      </x:c>
      <x:c r="E8" s="380" t="str">
        <x:v>稀有</x:v>
      </x:c>
      <x:c r="F8" s="380" t="str">
        <x:v>v0.109.0</x:v>
      </x:c>
      <x:c r="G8" s="380" t="str">
        <x:v>罕见→稀有</x:v>
      </x:c>
      <x:c r="H8" s="381" t="str">
        <x:v>https://slaythespire.wiki.gg/wiki/Slay_the_Spire_2%3AV0.109.0_-_Beta_Patch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66cb1b4428348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32" hidden="0" customWidth="1"/>
    <x:col min="4" max="4" width="62" hidden="0" customWidth="1"/>
    <x:col min="5" max="5" width="22" hidden="0" customWidth="1"/>
    <x:col min="6" max="6" width="45" hidden="0" customWidth="1"/>
    <x:col min="7" max="7" width="12" hidden="0" customWidth="1"/>
    <x:col min="8" max="8" width="18" hidden="0" customWidth="1"/>
    <x:col min="9" max="9" width="58" hidden="0" customWidth="1"/>
    <x:col min="10" max="10" width="46" hidden="0" customWidth="1"/>
  </x:cols>
  <x:sheetData>
    <x:row r="1">
      <x:c r="A1" s="1731" t="str">
        <x:v>限定时期真实招式目录（Web遗漏复核后）</x:v>
      </x:c>
      <x:c r="B1" s="1731"/>
      <x:c r="C1" s="1731"/>
      <x:c r="D1" s="1731"/>
      <x:c r="E1" s="1731"/>
      <x:c r="F1" s="1731"/>
      <x:c r="G1" s="1731"/>
      <x:c r="H1" s="1731"/>
      <x:c r="I1" s="1731"/>
      <x:c r="J1" s="1731"/>
    </x:row>
    <x:row r="2" ht="38" customHeight="1">
      <x:c r="A2" s="1732" t="str">
        <x:v>本次Web复核新增：白蛇之力、火遁·凤仙火之术；千鸟千本继续置顶。雷光剑化、千鸟刀、黑千鸟属于已有条目的译名/简称，不重复建项。</x:v>
      </x:c>
      <x:c r="B2" s="1732"/>
      <x:c r="C2" s="1732"/>
      <x:c r="D2" s="1732"/>
      <x:c r="E2" s="1732"/>
      <x:c r="F2" s="1732"/>
      <x:c r="G2" s="1732"/>
      <x:c r="H2" s="1732"/>
      <x:c r="I2" s="1732"/>
      <x:c r="J2" s="1732"/>
    </x:row>
    <x:row r="3" ht="38" customHeight="1">
      <x:c r="A3" s="1733" t="str">
        <x:v>正式中文名</x:v>
      </x:c>
      <x:c r="B3" s="1733" t="str">
        <x:v>正式原文/英文名</x:v>
      </x:c>
      <x:c r="C3" s="1733" t="str">
        <x:v>出典类型</x:v>
      </x:c>
      <x:c r="D3" s="1733" t="str">
        <x:v>限定时期实际使用说明</x:v>
      </x:c>
      <x:c r="E3" s="1733" t="str">
        <x:v>目录状态</x:v>
      </x:c>
      <x:c r="F3" s="1733" t="str">
        <x:v>当前映射卡牌</x:v>
      </x:c>
      <x:c r="G3" s="1733" t="str">
        <x:v>映射数量</x:v>
      </x:c>
      <x:c r="H3" s="1733" t="str">
        <x:v>上一版是否遗漏</x:v>
      </x:c>
      <x:c r="I3" s="1733" t="str">
        <x:v>证据URL</x:v>
      </x:c>
      <x:c r="J3" s="1733" t="str">
        <x:v>审核结论</x:v>
      </x:c>
    </x:row>
    <x:row r="4" ht="50" customHeight="1">
      <x:c r="A4" s="1773" t="str">
        <x:v>千鸟千本</x:v>
      </x:c>
      <x:c r="B4" s="1774" t="str">
        <x:v>Chidori Senbon / 千鳥千本</x:v>
      </x:c>
      <x:c r="C4" s="1774" t="str">
        <x:v>原作漫画、动画、资料书</x:v>
      </x:c>
      <x:c r="D4" s="1774" t="str">
        <x:v>白衣/Hebi对迪达拉战实际使用，首次出现于漫画第357话。</x:v>
      </x:c>
      <x:c r="E4" s="1774" t="str">
        <x:v>重点补回</x:v>
      </x:c>
      <x:c r="F4" s="1774" t="str">
        <x:v>Sword Boomerang</x:v>
      </x:c>
      <x:c r="G4" s="1774" t="n">
        <x:v>1</x:v>
      </x:c>
      <x:c r="H4" s="1774" t="str">
        <x:v>是</x:v>
      </x:c>
      <x:c r="I4" s="1774" t="str">
        <x:v>https://naruto.fandom.com/wiki/Chidori_Senbon</x:v>
      </x:c>
      <x:c r="J4" s="1775" t="str">
        <x:v>通过：限定时期有实际使用或明确对应版本游戏动作</x:v>
      </x:c>
    </x:row>
    <x:row r="5" ht="50" customHeight="1">
      <x:c r="A5" s="1776" t="str">
        <x:v>白蛇之力</x:v>
      </x:c>
      <x:c r="B5" s="1771" t="str">
        <x:v>Power of the White Snake / 白蛇の力</x:v>
      </x:c>
      <x:c r="C5" s="1771" t="str">
        <x:v>原作漫画、动画、资料设定；真实能力</x:v>
      </x:c>
      <x:c r="D5" s="1771" t="str">
        <x:v>吸收大蛇丸后暂时获得；提升恢复能力，并在兄弟之战中通过蜕皮逃离天照。</x:v>
      </x:c>
      <x:c r="E5" s="1771" t="str">
        <x:v>本次Web补回</x:v>
      </x:c>
      <x:c r="F5" s="1771" t="str">
        <x:v>Not Yet</x:v>
      </x:c>
      <x:c r="G5" s="1771" t="n">
        <x:v>1</x:v>
      </x:c>
      <x:c r="H5" s="1771" t="str">
        <x:v>是</x:v>
      </x:c>
      <x:c r="I5" s="1771" t="str">
        <x:v>https://naruto.fandom.com/wiki/Power_of_the_White_Snake</x:v>
      </x:c>
      <x:c r="J5" s="1777" t="str">
        <x:v>通过：限定时期真实能力；属于能力而非独立攻击术</x:v>
      </x:c>
    </x:row>
    <x:row r="6" ht="50" customHeight="1">
      <x:c r="A6" s="1778" t="str">
        <x:v>火遁·凤仙火之术</x:v>
      </x:c>
      <x:c r="B6" s="1779" t="str">
        <x:v>Fire Release: Phoenix Sage Fire Technique / 火遁・鳳仙火の術</x:v>
      </x:c>
      <x:c r="C6" s="1779" t="str">
        <x:v>究极风暴正式招式；目标形态归属来自游戏招式表</x:v>
      </x:c>
      <x:c r="D6" s="1779" t="str">
        <x:v>官方游戏资料确认佐助使用该术；Storm 2招式表将其列为白衣/Hebi咒印二的特殊投射动作。</x:v>
      </x:c>
      <x:c r="E6" s="1779" t="str">
        <x:v>本次Web补回（游戏）</x:v>
      </x:c>
      <x:c r="F6" s="1779" t="str">
        <x:v>Conflagration</x:v>
      </x:c>
      <x:c r="G6" s="1779" t="n">
        <x:v>1</x:v>
      </x:c>
      <x:c r="H6" s="1779" t="str">
        <x:v>是</x:v>
      </x:c>
      <x:c r="I6" s="1779" t="str">
        <x:v>https://naruto-ultimate-ninja-storm.fandom.com/wiki/Fire_Style%3A_Phoenix_Flower_Jutsu_%28Ninjutsu%29 ; https://gamefaqs.gamespot.com/ps3/982706/naruto-shippuden-ultimate-ninja-storm-2/answers/234343-what-are-all-the-moves-forms-mangekyo-eye-transformations-of-sasuke-in-this-game</x:v>
      </x:c>
      <x:c r="J6" s="1780" t="str">
        <x:v>通过（游戏招式）；白衣/Hebi咒印二归属置信度中等，建议实机复核</x:v>
      </x:c>
    </x:row>
    <x:row r="7" ht="50" customHeight="1">
      <x:c r="A7" s="1740" t="str">
        <x:v>写轮眼</x:v>
      </x:c>
      <x:c r="B7" s="820" t="str">
        <x:v>Sharingan / 写輪眼</x:v>
      </x:c>
      <x:c r="C7" s="820" t="str">
        <x:v>原作漫画、动画、资料书</x:v>
      </x:c>
      <x:c r="D7" s="820" t="str">
        <x:v>白衣/Hebi与兄弟之战中实际开启，用于观察、预判和幻术。</x:v>
      </x:c>
      <x:c r="E7" s="820" t="str">
        <x:v>核心目录</x:v>
      </x:c>
      <x:c r="F7" s="820" t="str">
        <x:v>Bash、Molten Fist、Colossus、Cruelty、Vicious、Dominate</x:v>
      </x:c>
      <x:c r="G7" s="820" t="n">
        <x:v>6</x:v>
      </x:c>
      <x:c r="H7" s="820" t="str">
        <x:v>否</x:v>
      </x:c>
      <x:c r="I7" s="820" t="str">
        <x:v>https://naruto.fandom.com/wiki/Sasuke_Uchiha</x:v>
      </x:c>
      <x:c r="J7" s="1741" t="str">
        <x:v>通过：限定时期有实际使用或明确对应版本游戏动作</x:v>
      </x:c>
    </x:row>
    <x:row r="8" ht="50" customHeight="1">
      <x:c r="A8" s="1740" t="str">
        <x:v>千鸟</x:v>
      </x:c>
      <x:c r="B8" s="820" t="str">
        <x:v>Chidori / 千鳥</x:v>
      </x:c>
      <x:c r="C8" s="820" t="str">
        <x:v>原作漫画、动画、究极风暴、火影忍者手游</x:v>
      </x:c>
      <x:c r="D8" s="820" t="str">
        <x:v>白衣/Hebi、兄弟之战与咒印二均有实际使用或明确动作。</x:v>
      </x:c>
      <x:c r="E8" s="820" t="str">
        <x:v>核心目录</x:v>
      </x:c>
      <x:c r="F8" s="820" t="str">
        <x:v>Hemokinesis</x:v>
      </x:c>
      <x:c r="G8" s="820" t="n">
        <x:v>1</x:v>
      </x:c>
      <x:c r="H8" s="820" t="str">
        <x:v>否</x:v>
      </x:c>
      <x:c r="I8" s="820" t="str">
        <x:v>https://naruto.fandom.com/wiki/Chidori</x:v>
      </x:c>
      <x:c r="J8" s="1741" t="str">
        <x:v>通过：限定时期有实际使用或明确对应版本游戏动作</x:v>
      </x:c>
    </x:row>
    <x:row r="9" ht="50" customHeight="1">
      <x:c r="A9" s="1740" t="str">
        <x:v>千鸟·查克拉刀</x:v>
      </x:c>
      <x:c r="B9" s="820" t="str">
        <x:v>Chidori: Chakra Blade / 千鳥・チャクラ刀</x:v>
      </x:c>
      <x:c r="C9" s="820" t="str">
        <x:v>究极风暴咒印二正式招式</x:v>
      </x:c>
      <x:c r="D9" s="820" t="str">
        <x:v>《究极风暴》咒印二佐助的体术、剑术与千鸟锐枪组合动作。</x:v>
      </x:c>
      <x:c r="E9" s="820" t="str">
        <x:v>重点补回</x:v>
      </x:c>
      <x:c r="F9" s="820" t="str">
        <x:v>Mangle</x:v>
      </x:c>
      <x:c r="G9" s="820" t="n">
        <x:v>1</x:v>
      </x:c>
      <x:c r="H9" s="820" t="str">
        <x:v>是</x:v>
      </x:c>
      <x:c r="I9" s="820" t="str">
        <x:v>https://naruto.fandom.com/wiki/Chidori%3A_Chakra_Blade</x:v>
      </x:c>
      <x:c r="J9" s="1741" t="str">
        <x:v>通过：限定时期有实际使用或明确对应版本游戏动作</x:v>
      </x:c>
    </x:row>
    <x:row r="10" ht="50" customHeight="1">
      <x:c r="A10" s="1740" t="str">
        <x:v>千鸟·落雷</x:v>
      </x:c>
      <x:c r="B10" s="820" t="str">
        <x:v>Chidori: Lightning Strike / 千鳥・落雷</x:v>
      </x:c>
      <x:c r="C10" s="820" t="str">
        <x:v>究极风暴正式招式</x:v>
      </x:c>
      <x:c r="D10" s="820" t="str">
        <x:v>《究极风暴》白衣/Hebi佐助空中雷遁附剑下砸动作。</x:v>
      </x:c>
      <x:c r="E10" s="820" t="str">
        <x:v>核心目录</x:v>
      </x:c>
      <x:c r="F10" s="820" t="str">
        <x:v>Body Slam、Stomp</x:v>
      </x:c>
      <x:c r="G10" s="820" t="n">
        <x:v>2</x:v>
      </x:c>
      <x:c r="H10" s="820" t="str">
        <x:v>否</x:v>
      </x:c>
      <x:c r="I10" s="820" t="str">
        <x:v>https://naruto-ultimate-ninja-storm.fandom.com/wiki/Sasuke_Uchiha/Move_List</x:v>
      </x:c>
      <x:c r="J10" s="1741" t="str">
        <x:v>通过：限定时期有实际使用或明确对应版本游戏动作</x:v>
      </x:c>
    </x:row>
    <x:row r="11" ht="50" customHeight="1">
      <x:c r="A11" s="1740" t="str">
        <x:v>千鸟流</x:v>
      </x:c>
      <x:c r="B11" s="820" t="str">
        <x:v>Chidori Current / 千鳥流し</x:v>
      </x:c>
      <x:c r="C11" s="820" t="str">
        <x:v>原作漫画、动画、资料书、究极风暴</x:v>
      </x:c>
      <x:c r="D11" s="820" t="str">
        <x:v>白衣/Hebi代表性周身放电招式，兼具攻击与防御。</x:v>
      </x:c>
      <x:c r="E11" s="820" t="str">
        <x:v>核心目录</x:v>
      </x:c>
      <x:c r="F11" s="820" t="str">
        <x:v>Breakthrough、Thunderclap、Rage、Whirlwind、Juggernaut</x:v>
      </x:c>
      <x:c r="G11" s="820" t="n">
        <x:v>5</x:v>
      </x:c>
      <x:c r="H11" s="820" t="str">
        <x:v>否</x:v>
      </x:c>
      <x:c r="I11" s="820" t="str">
        <x:v>https://naruto.fandom.com/wiki/Chidori_Current</x:v>
      </x:c>
      <x:c r="J11" s="1741" t="str">
        <x:v>通过：限定时期有实际使用或明确对应版本游戏动作</x:v>
      </x:c>
    </x:row>
    <x:row r="12" ht="50" customHeight="1">
      <x:c r="A12" s="1740" t="str">
        <x:v>千鸟真枪</x:v>
      </x:c>
      <x:c r="B12" s="820" t="str">
        <x:v>Chidori True Spear / 千鳥真槍</x:v>
      </x:c>
      <x:c r="C12" s="820" t="str">
        <x:v>究极风暴正式奥义</x:v>
      </x:c>
      <x:c r="D12" s="820" t="str">
        <x:v>《究极风暴》白衣/Hebi佐助的中距离千鸟锐枪爆发奥义。</x:v>
      </x:c>
      <x:c r="E12" s="820" t="str">
        <x:v>核心目录</x:v>
      </x:c>
      <x:c r="F12" s="820" t="str">
        <x:v>Bludgeon</x:v>
      </x:c>
      <x:c r="G12" s="820" t="n">
        <x:v>1</x:v>
      </x:c>
      <x:c r="H12" s="820" t="str">
        <x:v>否</x:v>
      </x:c>
      <x:c r="I12" s="820" t="str">
        <x:v>https://naruto.fandom.com/wiki/Chidori_True_Spear</x:v>
      </x:c>
      <x:c r="J12" s="1741" t="str">
        <x:v>通过：限定时期有实际使用或明确对应版本游戏动作</x:v>
      </x:c>
    </x:row>
    <x:row r="13" ht="50" customHeight="1">
      <x:c r="A13" s="1740" t="str">
        <x:v>千鸟锐枪</x:v>
      </x:c>
      <x:c r="B13" s="820" t="str">
        <x:v>Chidori Sharp Spear / 千鳥鋭槍</x:v>
      </x:c>
      <x:c r="C13" s="820" t="str">
        <x:v>原作漫画、动画、究极风暴</x:v>
      </x:c>
      <x:c r="D13" s="820" t="str">
        <x:v>白衣/Hebi开发并实际使用的中距离千鸟形态变化。</x:v>
      </x:c>
      <x:c r="E13" s="820" t="str">
        <x:v>核心目录</x:v>
      </x:c>
      <x:c r="F13" s="820" t="str">
        <x:v>Unrelenting、Primal Force、Giant Rock</x:v>
      </x:c>
      <x:c r="G13" s="820" t="n">
        <x:v>3</x:v>
      </x:c>
      <x:c r="H13" s="820" t="str">
        <x:v>否</x:v>
      </x:c>
      <x:c r="I13" s="820" t="str">
        <x:v>https://naruto.fandom.com/wiki/Chidori</x:v>
      </x:c>
      <x:c r="J13" s="1741" t="str">
        <x:v>通过：限定时期有实际使用或明确对应版本游戏动作</x:v>
      </x:c>
    </x:row>
    <x:row r="14" ht="50" customHeight="1">
      <x:c r="A14" s="1740" t="str">
        <x:v>大蛇丸流替身术</x:v>
      </x:c>
      <x:c r="B14" s="820" t="str">
        <x:v>Orochimaru-Style Body Replacement Technique / 大蛇丸流の変わり身の術</x:v>
      </x:c>
      <x:c r="C14" s="820" t="str">
        <x:v>原作漫画、动画、游戏</x:v>
      </x:c>
      <x:c r="D14" s="820" t="str">
        <x:v>兄弟之战对鼬实际使用的蜕皮替身术。</x:v>
      </x:c>
      <x:c r="E14" s="820" t="str">
        <x:v>核心目录</x:v>
      </x:c>
      <x:c r="F14" s="820" t="str">
        <x:v>Shrug It Off、Evil Eye、Second Wind、Stone Armor</x:v>
      </x:c>
      <x:c r="G14" s="820" t="n">
        <x:v>4</x:v>
      </x:c>
      <x:c r="H14" s="820" t="str">
        <x:v>否</x:v>
      </x:c>
      <x:c r="I14" s="820" t="str">
        <x:v>https://naruto.fandom.com/wiki/Orochimaru-Style_Body_Replacement_Technique</x:v>
      </x:c>
      <x:c r="J14" s="1741" t="str">
        <x:v>通过：限定时期有实际使用或明确对应版本游戏动作</x:v>
      </x:c>
    </x:row>
    <x:row r="15" ht="50" customHeight="1">
      <x:c r="A15" s="1740" t="str">
        <x:v>天之咒印</x:v>
      </x:c>
      <x:c r="B15" s="820" t="str">
        <x:v>Cursed Seal of Heaven / 天の呪印</x:v>
      </x:c>
      <x:c r="C15" s="820" t="str">
        <x:v>原作状态/能力</x:v>
      </x:c>
      <x:c r="D15" s="820" t="str">
        <x:v>白衣/Hebi对大蛇丸、迪达拉及鼬的战斗中实际激活。</x:v>
      </x:c>
      <x:c r="E15" s="820" t="str">
        <x:v>核心目录</x:v>
      </x:c>
      <x:c r="F15" s="820" t="str">
        <x:v>Blood Wall、Havoc、True Grit、Bloodletting、Burning Pact、Feel No Pain、Forgotten Ritual、Rupture、Spite、Brand、Cascade、Crimson Mantle、Dark Embrace、Offering</x:v>
      </x:c>
      <x:c r="G15" s="820" t="n">
        <x:v>14</x:v>
      </x:c>
      <x:c r="H15" s="820" t="str">
        <x:v>否</x:v>
      </x:c>
      <x:c r="I15" s="820" t="str">
        <x:v>https://naruto.fandom.com/wiki/Cursed_Seal_of_Heaven</x:v>
      </x:c>
      <x:c r="J15" s="1741" t="str">
        <x:v>通过：限定时期有实际使用或明确对应版本游戏动作</x:v>
      </x:c>
    </x:row>
    <x:row r="16" ht="50" customHeight="1">
      <x:c r="A16" s="1740" t="str">
        <x:v>天之咒印·状态二</x:v>
      </x:c>
      <x:c r="B16" s="820" t="str">
        <x:v>Cursed Seal of Heaven — Level 2 / 天の呪印・状態2</x:v>
      </x:c>
      <x:c r="C16" s="820" t="str">
        <x:v>原作状态、究极风暴、火影忍者手游</x:v>
      </x:c>
      <x:c r="D16" s="820" t="str">
        <x:v>咒印二完整形态，包含双翼、飞行、翼防御和黑色千鸟表现。</x:v>
      </x:c>
      <x:c r="E16" s="820" t="str">
        <x:v>核心目录</x:v>
      </x:c>
      <x:c r="F16" s="820" t="str">
        <x:v>Demon Form、Impervious、Unmovable、Demonic Shield、Tank</x:v>
      </x:c>
      <x:c r="G16" s="820" t="n">
        <x:v>5</x:v>
      </x:c>
      <x:c r="H16" s="820" t="str">
        <x:v>否</x:v>
      </x:c>
      <x:c r="I16" s="820" t="str">
        <x:v>https://naruto.fandom.com/wiki/Cursed_Seal_of_Heaven</x:v>
      </x:c>
      <x:c r="J16" s="1741" t="str">
        <x:v>通过：限定时期有实际使用或明确对应版本游戏动作</x:v>
      </x:c>
    </x:row>
    <x:row r="17" ht="50" customHeight="1">
      <x:c r="A17" s="1740" t="str">
        <x:v>居合</x:v>
      </x:c>
      <x:c r="B17" s="820" t="str">
        <x:v>Iaidō / 居合</x:v>
      </x:c>
      <x:c r="C17" s="820" t="str">
        <x:v>原作角色招式资料</x:v>
      </x:c>
      <x:c r="D17" s="820" t="str">
        <x:v>白衣/Hebi与兄弟之战的基础草薙剑近战体系。</x:v>
      </x:c>
      <x:c r="E17" s="820" t="str">
        <x:v>动作根目录</x:v>
      </x:c>
      <x:c r="F17" s="820" t="str">
        <x:v>Defend (Ironclad)、Strike (Ironclad)、Pommel Strike、Twin Strike、Dismantle</x:v>
      </x:c>
      <x:c r="G17" s="820" t="n">
        <x:v>5</x:v>
      </x:c>
      <x:c r="H17" s="820" t="str">
        <x:v>否</x:v>
      </x:c>
      <x:c r="I17" s="820" t="str">
        <x:v>https://naruto.fandom.com/wiki/Sasuke_Uchiha</x:v>
      </x:c>
      <x:c r="J17" s="1741" t="str">
        <x:v>通过：限定时期有实际使用或明确对应版本游戏动作</x:v>
      </x:c>
    </x:row>
    <x:row r="18" ht="50" customHeight="1">
      <x:c r="A18" s="1740" t="str">
        <x:v>幻术·写轮眼</x:v>
      </x:c>
      <x:c r="B18" s="820" t="str">
        <x:v>Genjutsu: Sharingan / 幻術・写輪眼</x:v>
      </x:c>
      <x:c r="C18" s="820" t="str">
        <x:v>原作漫画、动画</x:v>
      </x:c>
      <x:c r="D18" s="820" t="str">
        <x:v>白衣/Hebi阶段实际使用的三勾玉写轮眼幻术。</x:v>
      </x:c>
      <x:c r="E18" s="820" t="str">
        <x:v>核心目录</x:v>
      </x:c>
      <x:c r="F18" s="820" t="str">
        <x:v>Taunt</x:v>
      </x:c>
      <x:c r="G18" s="820" t="n">
        <x:v>1</x:v>
      </x:c>
      <x:c r="H18" s="820" t="str">
        <x:v>否</x:v>
      </x:c>
      <x:c r="I18" s="820" t="str">
        <x:v>https://naruto.fandom.com/wiki/Sasuke_Uchiha</x:v>
      </x:c>
      <x:c r="J18" s="1741" t="str">
        <x:v>通过：限定时期有实际使用或明确对应版本游戏动作</x:v>
      </x:c>
    </x:row>
    <x:row r="19" ht="50" customHeight="1">
      <x:c r="A19" s="1740" t="str">
        <x:v>操手里剑之术</x:v>
      </x:c>
      <x:c r="B19" s="820" t="str">
        <x:v>Manipulated Shuriken Technique / 操手裏剣の術</x:v>
      </x:c>
      <x:c r="C19" s="820" t="str">
        <x:v>原作漫画、动画、火影忍者手游</x:v>
      </x:c>
      <x:c r="D19" s="820" t="str">
        <x:v>白衣/Hebi对迪达拉战实际使用，首次出现于漫画第358话。</x:v>
      </x:c>
      <x:c r="E19" s="820" t="str">
        <x:v>核心目录</x:v>
      </x:c>
      <x:c r="F19" s="820" t="str">
        <x:v>Anger、Juggling、Pillage、Outrage</x:v>
      </x:c>
      <x:c r="G19" s="820" t="n">
        <x:v>4</x:v>
      </x:c>
      <x:c r="H19" s="820" t="str">
        <x:v>否</x:v>
      </x:c>
      <x:c r="I19" s="820" t="str">
        <x:v>https://naruto.fandom.com/wiki/Manipulated_Shuriken_Technique</x:v>
      </x:c>
      <x:c r="J19" s="1741" t="str">
        <x:v>通过：限定时期有实际使用或明确对应版本游戏动作</x:v>
      </x:c>
    </x:row>
    <x:row r="20" ht="50" customHeight="1">
      <x:c r="A20" s="1740" t="str">
        <x:v>潜影蛇手</x:v>
      </x:c>
      <x:c r="B20" s="820" t="str">
        <x:v>Hidden Shadow Snake Hands / 潜影蛇手</x:v>
      </x:c>
      <x:c r="C20" s="820" t="str">
        <x:v>原作漫画、动画、游戏</x:v>
      </x:c>
      <x:c r="D20" s="820" t="str">
        <x:v>白衣/Hebi吸收大蛇丸后的实际蛇术。</x:v>
      </x:c>
      <x:c r="E20" s="820" t="str">
        <x:v>核心目录</x:v>
      </x:c>
      <x:c r="F20" s="820" t="str">
        <x:v>Howl from Beyond</x:v>
      </x:c>
      <x:c r="G20" s="820" t="n">
        <x:v>1</x:v>
      </x:c>
      <x:c r="H20" s="820" t="str">
        <x:v>否</x:v>
      </x:c>
      <x:c r="I20" s="820" t="str">
        <x:v>https://naruto.fandom.com/wiki/Hidden_Shadow_Snake_Hands</x:v>
      </x:c>
      <x:c r="J20" s="1741" t="str">
        <x:v>通过：限定时期有实际使用或明确对应版本游戏动作</x:v>
      </x:c>
    </x:row>
    <x:row r="21" ht="50" customHeight="1">
      <x:c r="A21" s="1740" t="str">
        <x:v>火遁·豪火球之术</x:v>
      </x:c>
      <x:c r="B21" s="820" t="str">
        <x:v>Fire Release: Great Fireball Technique / 火遁・豪火球の術</x:v>
      </x:c>
      <x:c r="C21" s="820" t="str">
        <x:v>原作、动画、究极风暴</x:v>
      </x:c>
      <x:c r="D21" s="820" t="str">
        <x:v>白衣/Hebi及咒印二《究极风暴》动作；兄弟之战继续使用火遁。</x:v>
      </x:c>
      <x:c r="E21" s="820" t="str">
        <x:v>核心目录</x:v>
      </x:c>
      <x:c r="F21" s="820" t="str">
        <x:v>Flame Barrier、Inflame、Stoke、Blaze</x:v>
      </x:c>
      <x:c r="G21" s="820" t="n">
        <x:v>4</x:v>
      </x:c>
      <x:c r="H21" s="820" t="str">
        <x:v>否</x:v>
      </x:c>
      <x:c r="I21" s="820" t="str">
        <x:v>https://naruto-ultimate-ninja-storm.fandom.com/wiki/Sasuke_Uchiha/Move_List</x:v>
      </x:c>
      <x:c r="J21" s="1741" t="str">
        <x:v>通过：限定时期有实际使用或明确对应版本游戏动作</x:v>
      </x:c>
    </x:row>
    <x:row r="22" ht="50" customHeight="1">
      <x:c r="A22" s="1740" t="str">
        <x:v>火遁·豪火球之术·落火</x:v>
      </x:c>
      <x:c r="B22" s="820" t="str">
        <x:v>Fire Release: Great Fireball Technique: Falling Fire / 火遁・豪火球の術・落火</x:v>
      </x:c>
      <x:c r="C22" s="820" t="str">
        <x:v>究极风暴正式招式</x:v>
      </x:c>
      <x:c r="D22" s="820" t="str">
        <x:v>《究极风暴》白衣/Hebi佐助的剑术连段收尾招式。</x:v>
      </x:c>
      <x:c r="E22" s="820" t="str">
        <x:v>补回目录</x:v>
      </x:c>
      <x:c r="F22" s="820" t="str">
        <x:v>Cinder、Ashen Strike</x:v>
      </x:c>
      <x:c r="G22" s="820" t="n">
        <x:v>2</x:v>
      </x:c>
      <x:c r="H22" s="820" t="str">
        <x:v>是</x:v>
      </x:c>
      <x:c r="I22" s="820" t="str">
        <x:v>https://naruto.fandom.com/wiki/Fire_Release%3A_Great_Fireball_Technique%3A_Falling_Fire</x:v>
      </x:c>
      <x:c r="J22" s="1741" t="str">
        <x:v>通过：限定时期有实际使用或明确对应版本游戏动作</x:v>
      </x:c>
    </x:row>
    <x:row r="23" ht="50" customHeight="1">
      <x:c r="A23" s="1740" t="str">
        <x:v>火遁·豪龙火之术</x:v>
      </x:c>
      <x:c r="B23" s="820" t="str">
        <x:v>Fire Release: Great Dragon Fire Technique / 火遁・豪龍火の術</x:v>
      </x:c>
      <x:c r="C23" s="820" t="str">
        <x:v>原作漫画、动画、游戏</x:v>
      </x:c>
      <x:c r="D23" s="820" t="str">
        <x:v>兄弟之战对鼬实际使用，并制造麒麟所需雷云。</x:v>
      </x:c>
      <x:c r="E23" s="820" t="str">
        <x:v>核心目录</x:v>
      </x:c>
      <x:c r="F23" s="820" t="str">
        <x:v>Inferno、Fiend Fire、Pact's End、Pyre</x:v>
      </x:c>
      <x:c r="G23" s="820" t="n">
        <x:v>4</x:v>
      </x:c>
      <x:c r="H23" s="820" t="str">
        <x:v>否</x:v>
      </x:c>
      <x:c r="I23" s="820" t="str">
        <x:v>https://naruto.fandom.com/wiki/Sasuke_Uchiha</x:v>
      </x:c>
      <x:c r="J23" s="1741" t="str">
        <x:v>通过：限定时期有实际使用或明确对应版本游戏动作</x:v>
      </x:c>
    </x:row>
    <x:row r="24" ht="50" customHeight="1">
      <x:c r="A24" s="1740" t="str">
        <x:v>火遁·龙火之术</x:v>
      </x:c>
      <x:c r="B24" s="820" t="str">
        <x:v>Fire Release: Dragon Fire Technique / 火遁・龍火の術</x:v>
      </x:c>
      <x:c r="C24" s="820" t="str">
        <x:v>究极风暴白衣/Hebi招式</x:v>
      </x:c>
      <x:c r="D24" s="820" t="str">
        <x:v>《究极风暴》白衣/Hebi佐助可装备并实际使用的远程火遁。</x:v>
      </x:c>
      <x:c r="E24" s="820" t="str">
        <x:v>补回目录</x:v>
      </x:c>
      <x:c r="F24" s="820" t="str">
        <x:v>暂未映射，可供后续重排</x:v>
      </x:c>
      <x:c r="G24" s="820" t="n">
        <x:v>0</x:v>
      </x:c>
      <x:c r="H24" s="820" t="str">
        <x:v>是</x:v>
      </x:c>
      <x:c r="I24" s="820" t="str">
        <x:v>https://naruto-ultimate-ninja-storm.fandom.com/wiki/Sasuke_Uchiha/Move_List</x:v>
      </x:c>
      <x:c r="J24" s="1741" t="str">
        <x:v>通过：限定时期有实际使用或明确对应版本游戏动作</x:v>
      </x:c>
    </x:row>
    <x:row r="25" ht="50" customHeight="1">
      <x:c r="A25" s="1740" t="str">
        <x:v>瞬</x:v>
      </x:c>
      <x:c r="B25" s="820" t="str">
        <x:v>Flicker / 瞬</x:v>
      </x:c>
      <x:c r="C25" s="820" t="str">
        <x:v>究极风暴正式招式</x:v>
      </x:c>
      <x:c r="D25" s="820" t="str">
        <x:v>《究极风暴》白衣/Hebi佐助的高速雷遁突进动作。</x:v>
      </x:c>
      <x:c r="E25" s="820" t="str">
        <x:v>核心目录</x:v>
      </x:c>
      <x:c r="F25" s="820" t="str">
        <x:v>Bully</x:v>
      </x:c>
      <x:c r="G25" s="820" t="n">
        <x:v>1</x:v>
      </x:c>
      <x:c r="H25" s="820" t="str">
        <x:v>否</x:v>
      </x:c>
      <x:c r="I25" s="820" t="str">
        <x:v>https://naruto-ultimate-ninja-storm.fandom.com/wiki/Sasuke_Uchiha/Move_List</x:v>
      </x:c>
      <x:c r="J25" s="1741" t="str">
        <x:v>通过：限定时期有实际使用或明确对应版本游戏动作</x:v>
      </x:c>
    </x:row>
    <x:row r="26" ht="50" customHeight="1">
      <x:c r="A26" s="1740" t="str">
        <x:v>羽击千鸟</x:v>
      </x:c>
      <x:c r="B26" s="820" t="str">
        <x:v>Flapping Chidori / 羽撃く千鳥</x:v>
      </x:c>
      <x:c r="C26" s="820" t="str">
        <x:v>原作变体、动画、究极风暴</x:v>
      </x:c>
      <x:c r="D26" s="820" t="str">
        <x:v>咒印二专属黑色千鸟变体。</x:v>
      </x:c>
      <x:c r="E26" s="820" t="str">
        <x:v>核心目录</x:v>
      </x:c>
      <x:c r="F26" s="820" t="str">
        <x:v>Tear Asunder</x:v>
      </x:c>
      <x:c r="G26" s="820" t="n">
        <x:v>1</x:v>
      </x:c>
      <x:c r="H26" s="820" t="str">
        <x:v>否</x:v>
      </x:c>
      <x:c r="I26" s="820" t="str">
        <x:v>https://naruto.fandom.com/wiki/Chidori</x:v>
      </x:c>
      <x:c r="J26" s="1741" t="str">
        <x:v>通过：限定时期有实际使用或明确对应版本游戏动作</x:v>
      </x:c>
    </x:row>
    <x:row r="27" ht="50" customHeight="1">
      <x:c r="A27" s="1740" t="str">
        <x:v>草薙剑·千鸟刀</x:v>
      </x:c>
      <x:c r="B27" s="820" t="str">
        <x:v>Sword of Kusanagi: Chidori Katana / 草薙の剣・千鳥刀</x:v>
      </x:c>
      <x:c r="C27" s="820" t="str">
        <x:v>原作漫画、动画、资料书</x:v>
      </x:c>
      <x:c r="D27" s="820" t="str">
        <x:v>白衣/Hebi与兄弟之战实际使用的雷遁附剑体系。</x:v>
      </x:c>
      <x:c r="E27" s="820" t="str">
        <x:v>核心目录</x:v>
      </x:c>
      <x:c r="F27" s="820" t="str">
        <x:v>Iron Wave、Perfected Strike、Setup Strike、Expect a Fight、Rampage、Aggression、Hellraiser、Thrash</x:v>
      </x:c>
      <x:c r="G27" s="820" t="n">
        <x:v>8</x:v>
      </x:c>
      <x:c r="H27" s="820" t="str">
        <x:v>否</x:v>
      </x:c>
      <x:c r="I27" s="820" t="str">
        <x:v>https://naruto.fandom.com/wiki/Chidori_Current</x:v>
      </x:c>
      <x:c r="J27" s="1741" t="str">
        <x:v>通过：限定时期有实际使用或明确对应版本游戏动作</x:v>
      </x:c>
    </x:row>
    <x:row r="28" ht="50" customHeight="1">
      <x:c r="A28" s="1740" t="str">
        <x:v>蛇睨咒缚</x:v>
      </x:c>
      <x:c r="B28" s="820" t="str">
        <x:v>Binding Snake Glare Spell / 蛇睨呪縛</x:v>
      </x:c>
      <x:c r="C28" s="820" t="str">
        <x:v>原作漫画、动画、资料书</x:v>
      </x:c>
      <x:c r="D28" s="820" t="str">
        <x:v>白衣/Hebi阶段使用的蛇类束缚术。</x:v>
      </x:c>
      <x:c r="E28" s="820" t="str">
        <x:v>核心目录</x:v>
      </x:c>
      <x:c r="F28" s="820" t="str">
        <x:v>Barricade</x:v>
      </x:c>
      <x:c r="G28" s="820" t="n">
        <x:v>1</x:v>
      </x:c>
      <x:c r="H28" s="820" t="str">
        <x:v>否</x:v>
      </x:c>
      <x:c r="I28" s="820" t="str">
        <x:v>https://naruto.fandom.com/wiki/Binding_Snake_Glare_Spell</x:v>
      </x:c>
      <x:c r="J28" s="1741" t="str">
        <x:v>通过：限定时期有实际使用或明确对应版本游戏动作</x:v>
      </x:c>
    </x:row>
    <x:row r="29" ht="50" customHeight="1">
      <x:c r="A29" s="1740" t="str">
        <x:v>通灵·雷光剑化</x:v>
      </x:c>
      <x:c r="B29" s="820" t="str">
        <x:v>Summoning: Lightning Flash Blade Creation / 口寄せ・雷光剣化</x:v>
      </x:c>
      <x:c r="C29" s="820" t="str">
        <x:v>原作漫画、动画、资料书</x:v>
      </x:c>
      <x:c r="D29" s="820" t="str">
        <x:v>兄弟之战中通过手腕封印实际召唤风魔手里剑和忍具。</x:v>
      </x:c>
      <x:c r="E29" s="820" t="str">
        <x:v>核心目录</x:v>
      </x:c>
      <x:c r="F29" s="820" t="str">
        <x:v>Armaments、Battle Trance、Drum of Battle、Infernal Blade</x:v>
      </x:c>
      <x:c r="G29" s="820" t="n">
        <x:v>4</x:v>
      </x:c>
      <x:c r="H29" s="820" t="str">
        <x:v>否</x:v>
      </x:c>
      <x:c r="I29" s="820" t="str">
        <x:v>https://naruto.fandom.com/wiki/Summoning%3A_Lightning_Flash_Blade_Creation</x:v>
      </x:c>
      <x:c r="J29" s="1741" t="str">
        <x:v>通过：限定时期有实际使用或明确对应版本游戏动作</x:v>
      </x:c>
    </x:row>
    <x:row r="30" ht="50" customHeight="1">
      <x:c r="A30" s="1740" t="str">
        <x:v>通灵之术（万蛇）</x:v>
      </x:c>
      <x:c r="B30" s="820" t="str">
        <x:v>Summoning Technique — Manda / 口寄せの術・マンダ</x:v>
      </x:c>
      <x:c r="C30" s="820" t="str">
        <x:v>原作漫画、动画</x:v>
      </x:c>
      <x:c r="D30" s="820" t="str">
        <x:v>白衣/Hebi对迪达拉战末尾实际召唤万蛇抵挡C0爆炸并逃生。</x:v>
      </x:c>
      <x:c r="E30" s="820" t="str">
        <x:v>补回目录</x:v>
      </x:c>
      <x:c r="F30" s="820" t="str">
        <x:v>Feed</x:v>
      </x:c>
      <x:c r="G30" s="820" t="n">
        <x:v>1</x:v>
      </x:c>
      <x:c r="H30" s="820" t="str">
        <x:v>是</x:v>
      </x:c>
      <x:c r="I30" s="820" t="str">
        <x:v>https://naruto.fandom.com/wiki/Manda</x:v>
      </x:c>
      <x:c r="J30" s="1741" t="str">
        <x:v>通过：限定时期有实际使用或明确对应版本游戏动作</x:v>
      </x:c>
    </x:row>
    <x:row r="31" ht="50" customHeight="1">
      <x:c r="A31" s="1740" t="str">
        <x:v>雷光狮子连弹</x:v>
      </x:c>
      <x:c r="B31" s="820" t="str">
        <x:v>Lightning Lions Barrage / 雷光獅子連弾</x:v>
      </x:c>
      <x:c r="C31" s="820" t="str">
        <x:v>究极风暴正式招式</x:v>
      </x:c>
      <x:c r="D31" s="820" t="str">
        <x:v>《究极风暴》白衣/Hebi佐助的雷遁体术连段。</x:v>
      </x:c>
      <x:c r="E31" s="820" t="str">
        <x:v>核心目录</x:v>
      </x:c>
      <x:c r="F31" s="820" t="str">
        <x:v>Headbutt、Fight Me!、Uppercut、One-Two Punch</x:v>
      </x:c>
      <x:c r="G31" s="820" t="n">
        <x:v>4</x:v>
      </x:c>
      <x:c r="H31" s="820" t="str">
        <x:v>否</x:v>
      </x:c>
      <x:c r="I31" s="820" t="str">
        <x:v>https://naruto-ultimate-ninja-storm.fandom.com/wiki/Sasuke_Uchiha/Move_List</x:v>
      </x:c>
      <x:c r="J31" s="1741" t="str">
        <x:v>通过：限定时期有实际使用或明确对应版本游戏动作</x:v>
      </x:c>
    </x:row>
    <x:row r="32" ht="50" customHeight="1">
      <x:c r="A32" s="1742" t="str">
        <x:v>飞翔</x:v>
      </x:c>
      <x:c r="B32" s="1718" t="str">
        <x:v>Flight / 飛翔</x:v>
      </x:c>
      <x:c r="C32" s="1718" t="str">
        <x:v>究极风暴咒印二正式招式</x:v>
      </x:c>
      <x:c r="D32" s="1718" t="str">
        <x:v>咒印二佐助以拳脚、翼击和雷遁附剑完成的飞行连段。</x:v>
      </x:c>
      <x:c r="E32" s="1718" t="str">
        <x:v>重点补回</x:v>
      </x:c>
      <x:c r="F32" s="1718" t="str">
        <x:v>Stampede</x:v>
      </x:c>
      <x:c r="G32" s="1718" t="n">
        <x:v>1</x:v>
      </x:c>
      <x:c r="H32" s="1718" t="str">
        <x:v>是</x:v>
      </x:c>
      <x:c r="I32" s="1718" t="str">
        <x:v>https://naruto.fandom.com/wiki/Flight</x:v>
      </x:c>
      <x:c r="J32" s="1743" t="str">
        <x:v>通过：限定时期有实际使用或明确对应版本游戏动作</x:v>
      </x:c>
    </x:row>
    <x:row r="33" ht="50" customHeight="1">
      <x:c r="A33" s="1740" t="str">
        <x:v>魔幻·枷杭之术</x:v>
      </x:c>
      <x:c r="B33" s="820" t="str">
        <x:v>Demonic Illusion: Shackling Stakes Technique / 魔幻・枷杭の術</x:v>
      </x:c>
      <x:c r="C33" s="820" t="str">
        <x:v>原作漫画、动画、资料书</x:v>
      </x:c>
      <x:c r="D33" s="820" t="str">
        <x:v>白衣/Hebi阶段对大蛇丸实际使用。</x:v>
      </x:c>
      <x:c r="E33" s="820" t="str">
        <x:v>核心目录</x:v>
      </x:c>
      <x:c r="F33" s="820" t="str">
        <x:v>Tremble</x:v>
      </x:c>
      <x:c r="G33" s="820" t="n">
        <x:v>1</x:v>
      </x:c>
      <x:c r="H33" s="820" t="str">
        <x:v>否</x:v>
      </x:c>
      <x:c r="I33" s="820" t="str">
        <x:v>https://naruto.fandom.com/wiki/Demonic_Illusion%3A_Shackling_Stakes_Technique</x:v>
      </x:c>
      <x:c r="J33" s="1741" t="str">
        <x:v>通过：限定时期有实际使用或明确对应版本游戏动作</x:v>
      </x:c>
    </x:row>
    <x:row r="34" ht="50" customHeight="1">
      <x:c r="A34" s="1754" t="str">
        <x:v>麒麟</x:v>
      </x:c>
      <x:c r="B34" s="1755" t="str">
        <x:v>Kirin / 麒麟</x:v>
      </x:c>
      <x:c r="C34" s="1755" t="str">
        <x:v>原作漫画、动画、究极风暴</x:v>
      </x:c>
      <x:c r="D34" s="1755" t="str">
        <x:v>兄弟之战对鼬实际发动的最高终结术。</x:v>
      </x:c>
      <x:c r="E34" s="1755" t="str">
        <x:v>核心目录</x:v>
      </x:c>
      <x:c r="F34" s="1755" t="str">
        <x:v>Midnight</x:v>
      </x:c>
      <x:c r="G34" s="1755" t="n">
        <x:v>1</x:v>
      </x:c>
      <x:c r="H34" s="1755" t="str">
        <x:v>否</x:v>
      </x:c>
      <x:c r="I34" s="1755" t="str">
        <x:v>https://naruto.fandom.com/wiki/Kirin</x:v>
      </x:c>
      <x:c r="J34" s="1756" t="str">
        <x:v>通过：限定时期有实际使用或明确对应版本游戏动作</x:v>
      </x:c>
    </x:row>
  </x:sheetData>
  <x:mergeCells>
    <x:mergeCell ref="A1:F1"/>
    <x:mergeCell ref="A1:G1"/>
    <x:mergeCell ref="A1:H1"/>
    <x:mergeCell ref="A1:J1"/>
    <x:mergeCell ref="A2:J2"/>
  </x:mergeCells>
  <x:conditionalFormatting sqref="H4:H32">
    <x:cfRule type="expression" dxfId="62" priority="1">
      <x:formula>H4="是"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dbb92a677b49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1" hidden="0" customWidth="1"/>
    <x:col min="4" max="4" width="15" hidden="0" customWidth="1"/>
    <x:col min="5" max="5" width="14" hidden="0" customWidth="1"/>
    <x:col min="6" max="6" width="20" hidden="0" customWidth="1"/>
    <x:col min="8" max="8" width="12" hidden="0" customWidth="1"/>
    <x:col min="9" max="9" width="27" hidden="0" customWidth="1"/>
    <x:col min="7" max="7" width="15" hidden="0" customWidth="1"/>
    <x:col min="10" max="10" width="25" hidden="0" customWidth="1"/>
    <x:col min="11" max="11" width="14" hidden="0" customWidth="1"/>
  </x:cols>
  <x:sheetData>
    <x:row r="1">
      <x:c r="A1" s="1614" t="str">
        <x:v>原著识别型面板名称唯一性与写轮眼语义校验</x:v>
      </x:c>
      <x:c r="B1" s="1614"/>
      <x:c r="C1" s="1614"/>
      <x:c r="D1" s="1614"/>
      <x:c r="E1" s="1614"/>
      <x:c r="F1" s="1614"/>
      <x:c r="G1" s="1615"/>
      <x:c r="H1" s="1615"/>
    </x:row>
    <x:row r="2">
      <x:c r="H2" s="852"/>
      <x:c r="I2" s="1202"/>
      <x:c r="J2" s="1665" t="str">
        <x:v>指标</x:v>
      </x:c>
      <x:c r="K2" s="1665" t="str">
        <x:v>数量</x:v>
      </x:c>
    </x:row>
    <x:row r="3">
      <x:c r="A3" s="1624" t="str">
        <x:v>卡牌英文名</x:v>
      </x:c>
      <x:c r="B3" s="1624" t="str">
        <x:v>最终面板名</x:v>
      </x:c>
      <x:c r="C3" s="1624" t="str">
        <x:v>真实依据</x:v>
      </x:c>
      <x:c r="D3" s="1624" t="str">
        <x:v>强度档位</x:v>
      </x:c>
      <x:c r="E3" s="1624" t="str">
        <x:v>易伤相关</x:v>
      </x:c>
      <x:c r="F3" s="1624" t="str">
        <x:v>写轮眼/破绽语义</x:v>
      </x:c>
      <x:c r="G3" s="1624" t="str">
        <x:v>名称出现次数</x:v>
      </x:c>
      <x:c r="H3" s="1624" t="str">
        <x:v>校验结果</x:v>
      </x:c>
      <x:c r="I3" s="1204"/>
      <x:c r="J3" s="1680" t="str">
        <x:v>卡牌总数</x:v>
      </x:c>
      <x:c r="K3" s="1681" t="n">
        <x:v>89</x:v>
      </x:c>
    </x:row>
    <x:row r="4" ht="36" customHeight="1">
      <x:c r="A4" s="1674" t="str">
        <x:v>Bash</x:v>
      </x:c>
      <x:c r="B4" s="1675" t="str">
        <x:v>写轮眼·破势</x:v>
      </x:c>
      <x:c r="C4" s="1675" t="str">
        <x:v>写轮眼</x:v>
      </x:c>
      <x:c r="D4" s="1675" t="str">
        <x:v>T2 进阶</x:v>
      </x:c>
      <x:c r="E4" s="1675" t="str">
        <x:v>是</x:v>
      </x:c>
      <x:c r="F4" s="1675" t="str">
        <x:v>是</x:v>
      </x:c>
      <x:c r="G4" s="1675" t="n">
        <x:v>1</x:v>
      </x:c>
      <x:c r="H4" s="1676" t="str">
        <x:v>通过</x:v>
      </x:c>
      <x:c r="I4" s="1206"/>
      <x:c r="J4" s="1682" t="str">
        <x:v>唯一名称数</x:v>
      </x:c>
      <x:c r="K4" s="1683" t="n">
        <x:v>89</x:v>
      </x:c>
    </x:row>
    <x:row r="5" ht="36" customHeight="1">
      <x:c r="A5" s="1631" t="str">
        <x:v>Defend (Ironclad)</x:v>
      </x:c>
      <x:c r="B5" s="820" t="str">
        <x:v>草薙剑·剑御</x:v>
      </x:c>
      <x:c r="C5" s="820" t="str">
        <x:v>居合</x:v>
      </x:c>
      <x:c r="D5" s="820" t="str">
        <x:v>T1 基础</x:v>
      </x:c>
      <x:c r="E5" s="820" t="str">
        <x:v>否</x:v>
      </x:c>
      <x:c r="F5" s="820" t="str">
        <x:v>否</x:v>
      </x:c>
      <x:c r="G5" s="820" t="n">
        <x:v>1</x:v>
      </x:c>
      <x:c r="H5" s="1677" t="str">
        <x:v>通过</x:v>
      </x:c>
      <x:c r="I5" s="1206"/>
      <x:c r="J5" s="1682" t="str">
        <x:v>重复名称数</x:v>
      </x:c>
      <x:c r="K5" s="1683" t="n">
        <x:v>0</x:v>
      </x:c>
    </x:row>
    <x:row r="6" ht="36" customHeight="1">
      <x:c r="A6" s="1631" t="str">
        <x:v>Strike (Ironclad)</x:v>
      </x:c>
      <x:c r="B6" s="820" t="str">
        <x:v>草薙剑·瞬斩</x:v>
      </x:c>
      <x:c r="C6" s="820" t="str">
        <x:v>居合</x:v>
      </x:c>
      <x:c r="D6" s="820" t="str">
        <x:v>T1 基础</x:v>
      </x:c>
      <x:c r="E6" s="820" t="str">
        <x:v>否</x:v>
      </x:c>
      <x:c r="F6" s="820" t="str">
        <x:v>否</x:v>
      </x:c>
      <x:c r="G6" s="820" t="n">
        <x:v>1</x:v>
      </x:c>
      <x:c r="H6" s="1677" t="str">
        <x:v>通过</x:v>
      </x:c>
      <x:c r="I6" s="1206"/>
      <x:c r="J6" s="1682" t="str">
        <x:v>目录真实招式数</x:v>
      </x:c>
      <x:c r="K6" s="1683" t="n">
        <x:v>31</x:v>
      </x:c>
    </x:row>
    <x:row r="7" ht="36" customHeight="1">
      <x:c r="A7" s="1631" t="str">
        <x:v>Anger</x:v>
      </x:c>
      <x:c r="B7" s="820" t="str">
        <x:v>操手里剑·影袭</x:v>
      </x:c>
      <x:c r="C7" s="820" t="str">
        <x:v>操手里剑之术</x:v>
      </x:c>
      <x:c r="D7" s="820" t="str">
        <x:v>T1 基础</x:v>
      </x:c>
      <x:c r="E7" s="820" t="str">
        <x:v>否</x:v>
      </x:c>
      <x:c r="F7" s="820" t="str">
        <x:v>否</x:v>
      </x:c>
      <x:c r="G7" s="820" t="n">
        <x:v>1</x:v>
      </x:c>
      <x:c r="H7" s="1678" t="str">
        <x:v>通过</x:v>
      </x:c>
      <x:c r="I7" s="1208"/>
      <x:c r="J7" s="1682" t="str">
        <x:v>本次补回招式</x:v>
      </x:c>
      <x:c r="K7" s="1683" t="n">
        <x:v>8</x:v>
      </x:c>
    </x:row>
    <x:row r="8" ht="36" customHeight="1">
      <x:c r="A8" s="1631" t="str">
        <x:v>Armaments</x:v>
      </x:c>
      <x:c r="B8" s="820" t="str">
        <x:v>通灵·雷光剑化</x:v>
      </x:c>
      <x:c r="C8" s="820" t="str">
        <x:v>通灵·雷光剑化</x:v>
      </x:c>
      <x:c r="D8" s="820" t="str">
        <x:v>T2 进阶</x:v>
      </x:c>
      <x:c r="E8" s="820" t="str">
        <x:v>否</x:v>
      </x:c>
      <x:c r="F8" s="820" t="str">
        <x:v>否</x:v>
      </x:c>
      <x:c r="G8" s="820" t="n">
        <x:v>1</x:v>
      </x:c>
      <x:c r="H8" s="1678" t="str">
        <x:v>通过</x:v>
      </x:c>
      <x:c r="I8" s="850"/>
      <x:c r="J8" s="1682" t="str">
        <x:v>千鸟千本映射数</x:v>
      </x:c>
      <x:c r="K8" s="1683" t="n">
        <x:v>1</x:v>
      </x:c>
    </x:row>
    <x:row r="9" ht="36" customHeight="1">
      <x:c r="A9" s="1631" t="str">
        <x:v>Blood Wall</x:v>
      </x:c>
      <x:c r="B9" s="820" t="str">
        <x:v>咒印·血界</x:v>
      </x:c>
      <x:c r="C9" s="820" t="str">
        <x:v>天之咒印</x:v>
      </x:c>
      <x:c r="D9" s="820" t="str">
        <x:v>T2 进阶</x:v>
      </x:c>
      <x:c r="E9" s="820" t="str">
        <x:v>否</x:v>
      </x:c>
      <x:c r="F9" s="820" t="str">
        <x:v>否</x:v>
      </x:c>
      <x:c r="G9" s="820" t="n">
        <x:v>1</x:v>
      </x:c>
      <x:c r="H9" s="1643" t="str">
        <x:v>通过</x:v>
      </x:c>
      <x:c r="J9" s="1684" t="str">
        <x:v>非易伤错误瞳术名</x:v>
      </x:c>
      <x:c r="K9" s="1685" t="n">
        <x:v>0</x:v>
      </x:c>
    </x:row>
    <x:row r="10" ht="36" customHeight="1">
      <x:c r="A10" s="1631" t="str">
        <x:v>Body Slam</x:v>
      </x:c>
      <x:c r="B10" s="820" t="str">
        <x:v>千鸟·落雷</x:v>
      </x:c>
      <x:c r="C10" s="820" t="str">
        <x:v>千鸟·落雷</x:v>
      </x:c>
      <x:c r="D10" s="820" t="str">
        <x:v>T2 进阶</x:v>
      </x:c>
      <x:c r="E10" s="820" t="str">
        <x:v>否</x:v>
      </x:c>
      <x:c r="F10" s="820" t="str">
        <x:v>否</x:v>
      </x:c>
      <x:c r="G10" s="820" t="n">
        <x:v>1</x:v>
      </x:c>
      <x:c r="H10" s="1643" t="str">
        <x:v>通过</x:v>
      </x:c>
    </x:row>
    <x:row r="11" ht="36" customHeight="1">
      <x:c r="A11" s="1631" t="str">
        <x:v>Breakthrough</x:v>
      </x:c>
      <x:c r="B11" s="820" t="str">
        <x:v>千鸟流·突围</x:v>
      </x:c>
      <x:c r="C11" s="820" t="str">
        <x:v>千鸟流</x:v>
      </x:c>
      <x:c r="D11" s="820" t="str">
        <x:v>T2 进阶</x:v>
      </x:c>
      <x:c r="E11" s="820" t="str">
        <x:v>否</x:v>
      </x:c>
      <x:c r="F11" s="820" t="str">
        <x:v>否</x:v>
      </x:c>
      <x:c r="G11" s="820" t="n">
        <x:v>1</x:v>
      </x:c>
      <x:c r="H11" s="1643" t="str">
        <x:v>通过</x:v>
      </x:c>
    </x:row>
    <x:row r="12" ht="36" customHeight="1">
      <x:c r="A12" s="1631" t="str">
        <x:v>Cinder</x:v>
      </x:c>
      <x:c r="B12" s="820" t="str">
        <x:v>火遁·豪火球之术·落火</x:v>
      </x:c>
      <x:c r="C12" s="820" t="str">
        <x:v>火遁·豪火球之术·落火</x:v>
      </x:c>
      <x:c r="D12" s="820" t="str">
        <x:v>T2 进阶</x:v>
      </x:c>
      <x:c r="E12" s="820" t="str">
        <x:v>否</x:v>
      </x:c>
      <x:c r="F12" s="820" t="str">
        <x:v>否</x:v>
      </x:c>
      <x:c r="G12" s="820" t="n">
        <x:v>1</x:v>
      </x:c>
      <x:c r="H12" s="1643" t="str">
        <x:v>通过</x:v>
      </x:c>
    </x:row>
    <x:row r="13" ht="36" customHeight="1">
      <x:c r="A13" s="1631" t="str">
        <x:v>Havoc</x:v>
      </x:c>
      <x:c r="B13" s="820" t="str">
        <x:v>咒印·暴流</x:v>
      </x:c>
      <x:c r="C13" s="820" t="str">
        <x:v>天之咒印</x:v>
      </x:c>
      <x:c r="D13" s="820" t="str">
        <x:v>T2 进阶</x:v>
      </x:c>
      <x:c r="E13" s="820" t="str">
        <x:v>否</x:v>
      </x:c>
      <x:c r="F13" s="820" t="str">
        <x:v>否</x:v>
      </x:c>
      <x:c r="G13" s="820" t="n">
        <x:v>1</x:v>
      </x:c>
      <x:c r="H13" s="1643" t="str">
        <x:v>通过</x:v>
      </x:c>
    </x:row>
    <x:row r="14" ht="36" customHeight="1">
      <x:c r="A14" s="1631" t="str">
        <x:v>Headbutt</x:v>
      </x:c>
      <x:c r="B14" s="820" t="str">
        <x:v>雷光狮子连弹·冲膝</x:v>
      </x:c>
      <x:c r="C14" s="820" t="str">
        <x:v>雷光狮子连弹</x:v>
      </x:c>
      <x:c r="D14" s="820" t="str">
        <x:v>T1 基础</x:v>
      </x:c>
      <x:c r="E14" s="820" t="str">
        <x:v>否</x:v>
      </x:c>
      <x:c r="F14" s="820" t="str">
        <x:v>否</x:v>
      </x:c>
      <x:c r="G14" s="820" t="n">
        <x:v>1</x:v>
      </x:c>
      <x:c r="H14" s="1643" t="str">
        <x:v>通过</x:v>
      </x:c>
    </x:row>
    <x:row r="15" ht="36" customHeight="1">
      <x:c r="A15" s="1631" t="str">
        <x:v>Iron Wave</x:v>
      </x:c>
      <x:c r="B15" s="820" t="str">
        <x:v>草薙剑·千鸟刀</x:v>
      </x:c>
      <x:c r="C15" s="820" t="str">
        <x:v>草薙剑·千鸟刀</x:v>
      </x:c>
      <x:c r="D15" s="820" t="str">
        <x:v>T2 进阶</x:v>
      </x:c>
      <x:c r="E15" s="820" t="str">
        <x:v>否</x:v>
      </x:c>
      <x:c r="F15" s="820" t="str">
        <x:v>否</x:v>
      </x:c>
      <x:c r="G15" s="820" t="n">
        <x:v>1</x:v>
      </x:c>
      <x:c r="H15" s="1643" t="str">
        <x:v>通过</x:v>
      </x:c>
    </x:row>
    <x:row r="16" ht="36" customHeight="1">
      <x:c r="A16" s="1631" t="str">
        <x:v>Molten Fist</x:v>
      </x:c>
      <x:c r="B16" s="820" t="str">
        <x:v>写轮眼·裂隙拳</x:v>
      </x:c>
      <x:c r="C16" s="820" t="str">
        <x:v>写轮眼</x:v>
      </x:c>
      <x:c r="D16" s="820" t="str">
        <x:v>T2 进阶</x:v>
      </x:c>
      <x:c r="E16" s="820" t="str">
        <x:v>是</x:v>
      </x:c>
      <x:c r="F16" s="820" t="str">
        <x:v>是</x:v>
      </x:c>
      <x:c r="G16" s="820" t="n">
        <x:v>1</x:v>
      </x:c>
      <x:c r="H16" s="1643" t="str">
        <x:v>通过</x:v>
      </x:c>
    </x:row>
    <x:row r="17" ht="36" customHeight="1">
      <x:c r="A17" s="1631" t="str">
        <x:v>Perfected Strike</x:v>
      </x:c>
      <x:c r="B17" s="820" t="str">
        <x:v>草薙剑·千鸟连式</x:v>
      </x:c>
      <x:c r="C17" s="820" t="str">
        <x:v>草薙剑·千鸟刀</x:v>
      </x:c>
      <x:c r="D17" s="820" t="str">
        <x:v>T3 高阶</x:v>
      </x:c>
      <x:c r="E17" s="820" t="str">
        <x:v>否</x:v>
      </x:c>
      <x:c r="F17" s="820" t="str">
        <x:v>否</x:v>
      </x:c>
      <x:c r="G17" s="820" t="n">
        <x:v>1</x:v>
      </x:c>
      <x:c r="H17" s="1643" t="str">
        <x:v>通过</x:v>
      </x:c>
    </x:row>
    <x:row r="18" ht="36" customHeight="1">
      <x:c r="A18" s="1631" t="str">
        <x:v>Pommel Strike</x:v>
      </x:c>
      <x:c r="B18" s="820" t="str">
        <x:v>草薙剑·柄击</x:v>
      </x:c>
      <x:c r="C18" s="820" t="str">
        <x:v>居合</x:v>
      </x:c>
      <x:c r="D18" s="820" t="str">
        <x:v>T1 基础</x:v>
      </x:c>
      <x:c r="E18" s="820" t="str">
        <x:v>否</x:v>
      </x:c>
      <x:c r="F18" s="820" t="str">
        <x:v>否</x:v>
      </x:c>
      <x:c r="G18" s="820" t="n">
        <x:v>1</x:v>
      </x:c>
      <x:c r="H18" s="1643" t="str">
        <x:v>通过</x:v>
      </x:c>
    </x:row>
    <x:row r="19" ht="36" customHeight="1">
      <x:c r="A19" s="1631" t="str">
        <x:v>Setup Strike</x:v>
      </x:c>
      <x:c r="B19" s="820" t="str">
        <x:v>千鸟刀·蓄势</x:v>
      </x:c>
      <x:c r="C19" s="820" t="str">
        <x:v>草薙剑·千鸟刀</x:v>
      </x:c>
      <x:c r="D19" s="820" t="str">
        <x:v>T1 基础</x:v>
      </x:c>
      <x:c r="E19" s="820" t="str">
        <x:v>否</x:v>
      </x:c>
      <x:c r="F19" s="820" t="str">
        <x:v>否</x:v>
      </x:c>
      <x:c r="G19" s="820" t="n">
        <x:v>1</x:v>
      </x:c>
      <x:c r="H19" s="1643" t="str">
        <x:v>通过</x:v>
      </x:c>
    </x:row>
    <x:row r="20" ht="36" customHeight="1">
      <x:c r="A20" s="1631" t="str">
        <x:v>Shrug It Off</x:v>
      </x:c>
      <x:c r="B20" s="820" t="str">
        <x:v>大蛇丸流·蜕皮</x:v>
      </x:c>
      <x:c r="C20" s="820" t="str">
        <x:v>大蛇丸流替身术</x:v>
      </x:c>
      <x:c r="D20" s="820" t="str">
        <x:v>T1 基础</x:v>
      </x:c>
      <x:c r="E20" s="820" t="str">
        <x:v>否</x:v>
      </x:c>
      <x:c r="F20" s="820" t="str">
        <x:v>否</x:v>
      </x:c>
      <x:c r="G20" s="820" t="n">
        <x:v>1</x:v>
      </x:c>
      <x:c r="H20" s="1643" t="str">
        <x:v>通过</x:v>
      </x:c>
    </x:row>
    <x:row r="21" ht="36" customHeight="1">
      <x:c r="A21" s="1631" t="str">
        <x:v>Sword Boomerang</x:v>
      </x:c>
      <x:c r="B21" s="820" t="str">
        <x:v>千鸟千本</x:v>
      </x:c>
      <x:c r="C21" s="820" t="str">
        <x:v>千鸟千本</x:v>
      </x:c>
      <x:c r="D21" s="820" t="str">
        <x:v>T2 进阶</x:v>
      </x:c>
      <x:c r="E21" s="820" t="str">
        <x:v>否</x:v>
      </x:c>
      <x:c r="F21" s="820" t="str">
        <x:v>否</x:v>
      </x:c>
      <x:c r="G21" s="820" t="n">
        <x:v>1</x:v>
      </x:c>
      <x:c r="H21" s="1643" t="str">
        <x:v>通过</x:v>
      </x:c>
    </x:row>
    <x:row r="22" ht="36" customHeight="1">
      <x:c r="A22" s="1631" t="str">
        <x:v>Taunt</x:v>
      </x:c>
      <x:c r="B22" s="820" t="str">
        <x:v>幻术·写轮眼</x:v>
      </x:c>
      <x:c r="C22" s="820" t="str">
        <x:v>幻术·写轮眼</x:v>
      </x:c>
      <x:c r="D22" s="820" t="str">
        <x:v>T2 进阶</x:v>
      </x:c>
      <x:c r="E22" s="820" t="str">
        <x:v>是</x:v>
      </x:c>
      <x:c r="F22" s="820" t="str">
        <x:v>是</x:v>
      </x:c>
      <x:c r="G22" s="820" t="n">
        <x:v>1</x:v>
      </x:c>
      <x:c r="H22" s="1643" t="str">
        <x:v>通过</x:v>
      </x:c>
    </x:row>
    <x:row r="23" ht="36" customHeight="1">
      <x:c r="A23" s="1631" t="str">
        <x:v>Thunderclap</x:v>
      </x:c>
      <x:c r="B23" s="820" t="str">
        <x:v>千鸟流·雷震</x:v>
      </x:c>
      <x:c r="C23" s="820" t="str">
        <x:v>千鸟流</x:v>
      </x:c>
      <x:c r="D23" s="820" t="str">
        <x:v>T2 进阶</x:v>
      </x:c>
      <x:c r="E23" s="820" t="str">
        <x:v>是</x:v>
      </x:c>
      <x:c r="F23" s="820" t="str">
        <x:v>否</x:v>
      </x:c>
      <x:c r="G23" s="820" t="n">
        <x:v>1</x:v>
      </x:c>
      <x:c r="H23" s="1643" t="str">
        <x:v>通过</x:v>
      </x:c>
    </x:row>
    <x:row r="24" ht="36" customHeight="1">
      <x:c r="A24" s="1631" t="str">
        <x:v>Tremble</x:v>
      </x:c>
      <x:c r="B24" s="820" t="str">
        <x:v>魔幻·枷杭之术</x:v>
      </x:c>
      <x:c r="C24" s="820" t="str">
        <x:v>魔幻·枷杭之术</x:v>
      </x:c>
      <x:c r="D24" s="820" t="str">
        <x:v>T2 进阶</x:v>
      </x:c>
      <x:c r="E24" s="820" t="str">
        <x:v>是</x:v>
      </x:c>
      <x:c r="F24" s="820" t="str">
        <x:v>是</x:v>
      </x:c>
      <x:c r="G24" s="820" t="n">
        <x:v>1</x:v>
      </x:c>
      <x:c r="H24" s="1643" t="str">
        <x:v>通过</x:v>
      </x:c>
    </x:row>
    <x:row r="25" ht="36" customHeight="1">
      <x:c r="A25" s="1631" t="str">
        <x:v>True Grit</x:v>
      </x:c>
      <x:c r="B25" s="820" t="str">
        <x:v>咒印·坚忍</x:v>
      </x:c>
      <x:c r="C25" s="820" t="str">
        <x:v>天之咒印</x:v>
      </x:c>
      <x:c r="D25" s="820" t="str">
        <x:v>T1 基础</x:v>
      </x:c>
      <x:c r="E25" s="820" t="str">
        <x:v>否</x:v>
      </x:c>
      <x:c r="F25" s="820" t="str">
        <x:v>否</x:v>
      </x:c>
      <x:c r="G25" s="820" t="n">
        <x:v>1</x:v>
      </x:c>
      <x:c r="H25" s="1643" t="str">
        <x:v>通过</x:v>
      </x:c>
    </x:row>
    <x:row r="26" ht="36" customHeight="1">
      <x:c r="A26" s="1631" t="str">
        <x:v>Twin Strike</x:v>
      </x:c>
      <x:c r="B26" s="820" t="str">
        <x:v>草薙剑·双闪</x:v>
      </x:c>
      <x:c r="C26" s="820" t="str">
        <x:v>居合</x:v>
      </x:c>
      <x:c r="D26" s="820" t="str">
        <x:v>T1 基础</x:v>
      </x:c>
      <x:c r="E26" s="820" t="str">
        <x:v>否</x:v>
      </x:c>
      <x:c r="F26" s="820" t="str">
        <x:v>否</x:v>
      </x:c>
      <x:c r="G26" s="820" t="n">
        <x:v>1</x:v>
      </x:c>
      <x:c r="H26" s="1643" t="str">
        <x:v>通过</x:v>
      </x:c>
    </x:row>
    <x:row r="27" ht="36" customHeight="1">
      <x:c r="A27" s="1631" t="str">
        <x:v>Ashen Strike</x:v>
      </x:c>
      <x:c r="B27" s="820" t="str">
        <x:v>火遁·落火·灰烬追击</x:v>
      </x:c>
      <x:c r="C27" s="820" t="str">
        <x:v>火遁·豪火球之术·落火</x:v>
      </x:c>
      <x:c r="D27" s="820" t="str">
        <x:v>T2 进阶</x:v>
      </x:c>
      <x:c r="E27" s="820" t="str">
        <x:v>否</x:v>
      </x:c>
      <x:c r="F27" s="820" t="str">
        <x:v>否</x:v>
      </x:c>
      <x:c r="G27" s="820" t="n">
        <x:v>1</x:v>
      </x:c>
      <x:c r="H27" s="1643" t="str">
        <x:v>通过</x:v>
      </x:c>
    </x:row>
    <x:row r="28" ht="36" customHeight="1">
      <x:c r="A28" s="1631" t="str">
        <x:v>Battle Trance</x:v>
      </x:c>
      <x:c r="B28" s="820" t="str">
        <x:v>雷光剑化·三器展开</x:v>
      </x:c>
      <x:c r="C28" s="820" t="str">
        <x:v>通灵·雷光剑化</x:v>
      </x:c>
      <x:c r="D28" s="820" t="str">
        <x:v>T2 进阶</x:v>
      </x:c>
      <x:c r="E28" s="820" t="str">
        <x:v>否</x:v>
      </x:c>
      <x:c r="F28" s="820" t="str">
        <x:v>否</x:v>
      </x:c>
      <x:c r="G28" s="820" t="n">
        <x:v>1</x:v>
      </x:c>
      <x:c r="H28" s="1643" t="str">
        <x:v>通过</x:v>
      </x:c>
    </x:row>
    <x:row r="29" ht="36" customHeight="1">
      <x:c r="A29" s="1631" t="str">
        <x:v>Bloodletting</x:v>
      </x:c>
      <x:c r="B29" s="820" t="str">
        <x:v>咒印·血解</x:v>
      </x:c>
      <x:c r="C29" s="820" t="str">
        <x:v>天之咒印</x:v>
      </x:c>
      <x:c r="D29" s="820" t="str">
        <x:v>T2 进阶</x:v>
      </x:c>
      <x:c r="E29" s="820" t="str">
        <x:v>否</x:v>
      </x:c>
      <x:c r="F29" s="820" t="str">
        <x:v>否</x:v>
      </x:c>
      <x:c r="G29" s="820" t="n">
        <x:v>1</x:v>
      </x:c>
      <x:c r="H29" s="1643" t="str">
        <x:v>通过</x:v>
      </x:c>
    </x:row>
    <x:row r="30" ht="36" customHeight="1">
      <x:c r="A30" s="1631" t="str">
        <x:v>Bludgeon</x:v>
      </x:c>
      <x:c r="B30" s="820" t="str">
        <x:v>千鸟真枪</x:v>
      </x:c>
      <x:c r="C30" s="820" t="str">
        <x:v>千鸟真枪</x:v>
      </x:c>
      <x:c r="D30" s="820" t="str">
        <x:v>T4 决战</x:v>
      </x:c>
      <x:c r="E30" s="820" t="str">
        <x:v>否</x:v>
      </x:c>
      <x:c r="F30" s="820" t="str">
        <x:v>否</x:v>
      </x:c>
      <x:c r="G30" s="820" t="n">
        <x:v>1</x:v>
      </x:c>
      <x:c r="H30" s="1643" t="str">
        <x:v>通过</x:v>
      </x:c>
    </x:row>
    <x:row r="31" ht="36" customHeight="1">
      <x:c r="A31" s="1631" t="str">
        <x:v>Bully</x:v>
      </x:c>
      <x:c r="B31" s="820" t="str">
        <x:v>瞬·追隙</x:v>
      </x:c>
      <x:c r="C31" s="820" t="str">
        <x:v>瞬</x:v>
      </x:c>
      <x:c r="D31" s="820" t="str">
        <x:v>T2 进阶</x:v>
      </x:c>
      <x:c r="E31" s="820" t="str">
        <x:v>是</x:v>
      </x:c>
      <x:c r="F31" s="820" t="str">
        <x:v>是</x:v>
      </x:c>
      <x:c r="G31" s="820" t="n">
        <x:v>1</x:v>
      </x:c>
      <x:c r="H31" s="1643" t="str">
        <x:v>通过</x:v>
      </x:c>
    </x:row>
    <x:row r="32" ht="36" customHeight="1">
      <x:c r="A32" s="1631" t="str">
        <x:v>Burning Pact</x:v>
      </x:c>
      <x:c r="B32" s="820" t="str">
        <x:v>咒印·献契</x:v>
      </x:c>
      <x:c r="C32" s="820" t="str">
        <x:v>天之咒印</x:v>
      </x:c>
      <x:c r="D32" s="820" t="str">
        <x:v>T2 进阶</x:v>
      </x:c>
      <x:c r="E32" s="820" t="str">
        <x:v>否</x:v>
      </x:c>
      <x:c r="F32" s="820" t="str">
        <x:v>否</x:v>
      </x:c>
      <x:c r="G32" s="820" t="n">
        <x:v>1</x:v>
      </x:c>
      <x:c r="H32" s="1643" t="str">
        <x:v>通过</x:v>
      </x:c>
    </x:row>
    <x:row r="33" ht="36" customHeight="1">
      <x:c r="A33" s="1631" t="str">
        <x:v>Colossus</x:v>
      </x:c>
      <x:c r="B33" s="820" t="str">
        <x:v>写轮眼·见切</x:v>
      </x:c>
      <x:c r="C33" s="820" t="str">
        <x:v>写轮眼</x:v>
      </x:c>
      <x:c r="D33" s="820" t="str">
        <x:v>T2 进阶</x:v>
      </x:c>
      <x:c r="E33" s="820" t="str">
        <x:v>是</x:v>
      </x:c>
      <x:c r="F33" s="820" t="str">
        <x:v>是</x:v>
      </x:c>
      <x:c r="G33" s="820" t="n">
        <x:v>1</x:v>
      </x:c>
      <x:c r="H33" s="1643" t="str">
        <x:v>通过</x:v>
      </x:c>
    </x:row>
    <x:row r="34" ht="36" customHeight="1">
      <x:c r="A34" s="1631" t="str">
        <x:v>Cruelty</x:v>
      </x:c>
      <x:c r="B34" s="820" t="str">
        <x:v>写轮眼·死角解析</x:v>
      </x:c>
      <x:c r="C34" s="820" t="str">
        <x:v>写轮眼</x:v>
      </x:c>
      <x:c r="D34" s="820" t="str">
        <x:v>T3 高阶</x:v>
      </x:c>
      <x:c r="E34" s="820" t="str">
        <x:v>是</x:v>
      </x:c>
      <x:c r="F34" s="820" t="str">
        <x:v>是</x:v>
      </x:c>
      <x:c r="G34" s="820" t="n">
        <x:v>1</x:v>
      </x:c>
      <x:c r="H34" s="1643" t="str">
        <x:v>通过</x:v>
      </x:c>
    </x:row>
    <x:row r="35" ht="36" customHeight="1">
      <x:c r="A35" s="1631" t="str">
        <x:v>Dismantle</x:v>
      </x:c>
      <x:c r="B35" s="820" t="str">
        <x:v>草薙剑·破绽二连斩</x:v>
      </x:c>
      <x:c r="C35" s="820" t="str">
        <x:v>居合</x:v>
      </x:c>
      <x:c r="D35" s="820" t="str">
        <x:v>T2 进阶</x:v>
      </x:c>
      <x:c r="E35" s="820" t="str">
        <x:v>是</x:v>
      </x:c>
      <x:c r="F35" s="820" t="str">
        <x:v>是</x:v>
      </x:c>
      <x:c r="G35" s="820" t="n">
        <x:v>1</x:v>
      </x:c>
      <x:c r="H35" s="1643" t="str">
        <x:v>通过</x:v>
      </x:c>
    </x:row>
    <x:row r="36" ht="36" customHeight="1">
      <x:c r="A36" s="1631" t="str">
        <x:v>Drum of Battle</x:v>
      </x:c>
      <x:c r="B36" s="820" t="str">
        <x:v>雷光剑化·忍具阵</x:v>
      </x:c>
      <x:c r="C36" s="820" t="str">
        <x:v>通灵·雷光剑化</x:v>
      </x:c>
      <x:c r="D36" s="820" t="str">
        <x:v>T2 进阶</x:v>
      </x:c>
      <x:c r="E36" s="820" t="str">
        <x:v>否</x:v>
      </x:c>
      <x:c r="F36" s="820" t="str">
        <x:v>否</x:v>
      </x:c>
      <x:c r="G36" s="820" t="n">
        <x:v>1</x:v>
      </x:c>
      <x:c r="H36" s="1643" t="str">
        <x:v>通过</x:v>
      </x:c>
    </x:row>
    <x:row r="37" ht="36" customHeight="1">
      <x:c r="A37" s="1631" t="str">
        <x:v>Evil Eye</x:v>
      </x:c>
      <x:c r="B37" s="820" t="str">
        <x:v>大蛇丸流·二重蜕皮</x:v>
      </x:c>
      <x:c r="C37" s="820" t="str">
        <x:v>大蛇丸流替身术</x:v>
      </x:c>
      <x:c r="D37" s="820" t="str">
        <x:v>T2 进阶</x:v>
      </x:c>
      <x:c r="E37" s="820" t="str">
        <x:v>否</x:v>
      </x:c>
      <x:c r="F37" s="820" t="str">
        <x:v>否</x:v>
      </x:c>
      <x:c r="G37" s="820" t="n">
        <x:v>1</x:v>
      </x:c>
      <x:c r="H37" s="1643" t="str">
        <x:v>通过</x:v>
      </x:c>
    </x:row>
    <x:row r="38" ht="36" customHeight="1">
      <x:c r="A38" s="1631" t="str">
        <x:v>Expect a Fight</x:v>
      </x:c>
      <x:c r="B38" s="820" t="str">
        <x:v>千鸟刀·连击准备</x:v>
      </x:c>
      <x:c r="C38" s="820" t="str">
        <x:v>草薙剑·千鸟刀</x:v>
      </x:c>
      <x:c r="D38" s="820" t="str">
        <x:v>T2 进阶</x:v>
      </x:c>
      <x:c r="E38" s="820" t="str">
        <x:v>否</x:v>
      </x:c>
      <x:c r="F38" s="820" t="str">
        <x:v>否</x:v>
      </x:c>
      <x:c r="G38" s="820" t="n">
        <x:v>1</x:v>
      </x:c>
      <x:c r="H38" s="1643" t="str">
        <x:v>通过</x:v>
      </x:c>
    </x:row>
    <x:row r="39" ht="36" customHeight="1">
      <x:c r="A39" s="1631" t="str">
        <x:v>Feel No Pain</x:v>
      </x:c>
      <x:c r="B39" s="820" t="str">
        <x:v>咒印·痛觉遮断</x:v>
      </x:c>
      <x:c r="C39" s="820" t="str">
        <x:v>天之咒印</x:v>
      </x:c>
      <x:c r="D39" s="820" t="str">
        <x:v>T2 进阶</x:v>
      </x:c>
      <x:c r="E39" s="820" t="str">
        <x:v>否</x:v>
      </x:c>
      <x:c r="F39" s="820" t="str">
        <x:v>否</x:v>
      </x:c>
      <x:c r="G39" s="820" t="n">
        <x:v>1</x:v>
      </x:c>
      <x:c r="H39" s="1643" t="str">
        <x:v>通过</x:v>
      </x:c>
    </x:row>
    <x:row r="40" ht="36" customHeight="1">
      <x:c r="A40" s="1631" t="str">
        <x:v>Fight Me!</x:v>
      </x:c>
      <x:c r="B40" s="820" t="str">
        <x:v>雷光狮子连弹·邀战</x:v>
      </x:c>
      <x:c r="C40" s="820" t="str">
        <x:v>雷光狮子连弹</x:v>
      </x:c>
      <x:c r="D40" s="820" t="str">
        <x:v>T2 进阶</x:v>
      </x:c>
      <x:c r="E40" s="820" t="str">
        <x:v>否</x:v>
      </x:c>
      <x:c r="F40" s="820" t="str">
        <x:v>否</x:v>
      </x:c>
      <x:c r="G40" s="820" t="n">
        <x:v>1</x:v>
      </x:c>
      <x:c r="H40" s="1643" t="str">
        <x:v>通过</x:v>
      </x:c>
    </x:row>
    <x:row r="41" ht="36" customHeight="1">
      <x:c r="A41" s="1631" t="str">
        <x:v>Flame Barrier</x:v>
      </x:c>
      <x:c r="B41" s="820" t="str">
        <x:v>火遁·豪火球·返炎</x:v>
      </x:c>
      <x:c r="C41" s="820" t="str">
        <x:v>火遁·豪火球之术</x:v>
      </x:c>
      <x:c r="D41" s="820" t="str">
        <x:v>T2 进阶</x:v>
      </x:c>
      <x:c r="E41" s="820" t="str">
        <x:v>否</x:v>
      </x:c>
      <x:c r="F41" s="820" t="str">
        <x:v>否</x:v>
      </x:c>
      <x:c r="G41" s="820" t="n">
        <x:v>1</x:v>
      </x:c>
      <x:c r="H41" s="1643" t="str">
        <x:v>通过</x:v>
      </x:c>
    </x:row>
    <x:row r="42" ht="36" customHeight="1">
      <x:c r="A42" s="1631" t="str">
        <x:v>Forgotten Ritual</x:v>
      </x:c>
      <x:c r="B42" s="820" t="str">
        <x:v>咒印·解封仪式</x:v>
      </x:c>
      <x:c r="C42" s="820" t="str">
        <x:v>天之咒印</x:v>
      </x:c>
      <x:c r="D42" s="820" t="str">
        <x:v>T3 高阶</x:v>
      </x:c>
      <x:c r="E42" s="820" t="str">
        <x:v>否</x:v>
      </x:c>
      <x:c r="F42" s="820" t="str">
        <x:v>否</x:v>
      </x:c>
      <x:c r="G42" s="820" t="n">
        <x:v>1</x:v>
      </x:c>
      <x:c r="H42" s="1643" t="str">
        <x:v>通过</x:v>
      </x:c>
    </x:row>
    <x:row r="43" ht="36" customHeight="1">
      <x:c r="A43" s="1631" t="str">
        <x:v>Hemokinesis</x:v>
      </x:c>
      <x:c r="B43" s="820" t="str">
        <x:v>千鸟·血祭</x:v>
      </x:c>
      <x:c r="C43" s="820" t="str">
        <x:v>千鸟</x:v>
      </x:c>
      <x:c r="D43" s="820" t="str">
        <x:v>T3 高阶</x:v>
      </x:c>
      <x:c r="E43" s="820" t="str">
        <x:v>否</x:v>
      </x:c>
      <x:c r="F43" s="820" t="str">
        <x:v>否</x:v>
      </x:c>
      <x:c r="G43" s="820" t="n">
        <x:v>1</x:v>
      </x:c>
      <x:c r="H43" s="1643" t="str">
        <x:v>通过</x:v>
      </x:c>
    </x:row>
    <x:row r="44" ht="36" customHeight="1">
      <x:c r="A44" s="1631" t="str">
        <x:v>Howl from Beyond</x:v>
      </x:c>
      <x:c r="B44" s="820" t="str">
        <x:v>潜影蛇手·蛇群再袭</x:v>
      </x:c>
      <x:c r="C44" s="820" t="str">
        <x:v>潜影蛇手</x:v>
      </x:c>
      <x:c r="D44" s="820" t="str">
        <x:v>T2 进阶</x:v>
      </x:c>
      <x:c r="E44" s="820" t="str">
        <x:v>否</x:v>
      </x:c>
      <x:c r="F44" s="820" t="str">
        <x:v>否</x:v>
      </x:c>
      <x:c r="G44" s="820" t="n">
        <x:v>1</x:v>
      </x:c>
      <x:c r="H44" s="1643" t="str">
        <x:v>通过</x:v>
      </x:c>
    </x:row>
    <x:row r="45" ht="36" customHeight="1">
      <x:c r="A45" s="1631" t="str">
        <x:v>Infernal Blade</x:v>
      </x:c>
      <x:c r="B45" s="820" t="str">
        <x:v>通灵·雷光剑化·瞬装</x:v>
      </x:c>
      <x:c r="C45" s="820" t="str">
        <x:v>通灵·雷光剑化</x:v>
      </x:c>
      <x:c r="D45" s="820" t="str">
        <x:v>T2 进阶</x:v>
      </x:c>
      <x:c r="E45" s="820" t="str">
        <x:v>否</x:v>
      </x:c>
      <x:c r="F45" s="820" t="str">
        <x:v>否</x:v>
      </x:c>
      <x:c r="G45" s="820" t="n">
        <x:v>1</x:v>
      </x:c>
      <x:c r="H45" s="1643" t="str">
        <x:v>通过</x:v>
      </x:c>
    </x:row>
    <x:row r="46" ht="36" customHeight="1">
      <x:c r="A46" s="1631" t="str">
        <x:v>Inferno</x:v>
      </x:c>
      <x:c r="B46" s="820" t="str">
        <x:v>火遁·豪龙火之术</x:v>
      </x:c>
      <x:c r="C46" s="820" t="str">
        <x:v>火遁·豪龙火之术</x:v>
      </x:c>
      <x:c r="D46" s="820" t="str">
        <x:v>T4 决战</x:v>
      </x:c>
      <x:c r="E46" s="820" t="str">
        <x:v>否</x:v>
      </x:c>
      <x:c r="F46" s="820" t="str">
        <x:v>否</x:v>
      </x:c>
      <x:c r="G46" s="820" t="n">
        <x:v>1</x:v>
      </x:c>
      <x:c r="H46" s="1643" t="str">
        <x:v>通过</x:v>
      </x:c>
    </x:row>
    <x:row r="47" ht="36" customHeight="1">
      <x:c r="A47" s="1631" t="str">
        <x:v>Inflame</x:v>
      </x:c>
      <x:c r="B47" s="820" t="str">
        <x:v>火遁·火炎增幅</x:v>
      </x:c>
      <x:c r="C47" s="820" t="str">
        <x:v>火遁·豪火球之术</x:v>
      </x:c>
      <x:c r="D47" s="820" t="str">
        <x:v>T2 进阶</x:v>
      </x:c>
      <x:c r="E47" s="820" t="str">
        <x:v>否</x:v>
      </x:c>
      <x:c r="F47" s="820" t="str">
        <x:v>否</x:v>
      </x:c>
      <x:c r="G47" s="820" t="n">
        <x:v>1</x:v>
      </x:c>
      <x:c r="H47" s="1643" t="str">
        <x:v>通过</x:v>
      </x:c>
    </x:row>
    <x:row r="48" ht="36" customHeight="1">
      <x:c r="A48" s="1631" t="str">
        <x:v>Juggling</x:v>
      </x:c>
      <x:c r="B48" s="820" t="str">
        <x:v>操手里剑·三式连携</x:v>
      </x:c>
      <x:c r="C48" s="820" t="str">
        <x:v>操手里剑之术</x:v>
      </x:c>
      <x:c r="D48" s="820" t="str">
        <x:v>T2 进阶</x:v>
      </x:c>
      <x:c r="E48" s="820" t="str">
        <x:v>否</x:v>
      </x:c>
      <x:c r="F48" s="820" t="str">
        <x:v>否</x:v>
      </x:c>
      <x:c r="G48" s="820" t="n">
        <x:v>1</x:v>
      </x:c>
      <x:c r="H48" s="1643" t="str">
        <x:v>通过</x:v>
      </x:c>
    </x:row>
    <x:row r="49" ht="36" customHeight="1">
      <x:c r="A49" s="1631" t="str">
        <x:v>Pillage</x:v>
      </x:c>
      <x:c r="B49" s="820" t="str">
        <x:v>操手里剑·牵制换势</x:v>
      </x:c>
      <x:c r="C49" s="820" t="str">
        <x:v>操手里剑之术</x:v>
      </x:c>
      <x:c r="D49" s="820" t="str">
        <x:v>T2 进阶</x:v>
      </x:c>
      <x:c r="E49" s="820" t="str">
        <x:v>否</x:v>
      </x:c>
      <x:c r="F49" s="820" t="str">
        <x:v>否</x:v>
      </x:c>
      <x:c r="G49" s="820" t="n">
        <x:v>1</x:v>
      </x:c>
      <x:c r="H49" s="1643" t="str">
        <x:v>通过</x:v>
      </x:c>
    </x:row>
    <x:row r="50" ht="36" customHeight="1">
      <x:c r="A50" s="1631" t="str">
        <x:v>Rage</x:v>
      </x:c>
      <x:c r="B50" s="820" t="str">
        <x:v>千鸟流·雷衣</x:v>
      </x:c>
      <x:c r="C50" s="820" t="str">
        <x:v>千鸟流</x:v>
      </x:c>
      <x:c r="D50" s="820" t="str">
        <x:v>T2 进阶</x:v>
      </x:c>
      <x:c r="E50" s="820" t="str">
        <x:v>否</x:v>
      </x:c>
      <x:c r="F50" s="820" t="str">
        <x:v>否</x:v>
      </x:c>
      <x:c r="G50" s="820" t="n">
        <x:v>1</x:v>
      </x:c>
      <x:c r="H50" s="1643" t="str">
        <x:v>通过</x:v>
      </x:c>
    </x:row>
    <x:row r="51" ht="36" customHeight="1">
      <x:c r="A51" s="1631" t="str">
        <x:v>Rampage</x:v>
      </x:c>
      <x:c r="B51" s="820" t="str">
        <x:v>草薙剑·千鸟刀·连战</x:v>
      </x:c>
      <x:c r="C51" s="820" t="str">
        <x:v>草薙剑·千鸟刀</x:v>
      </x:c>
      <x:c r="D51" s="820" t="str">
        <x:v>T2 进阶</x:v>
      </x:c>
      <x:c r="E51" s="820" t="str">
        <x:v>否</x:v>
      </x:c>
      <x:c r="F51" s="820" t="str">
        <x:v>否</x:v>
      </x:c>
      <x:c r="G51" s="820" t="n">
        <x:v>1</x:v>
      </x:c>
      <x:c r="H51" s="1643" t="str">
        <x:v>通过</x:v>
      </x:c>
    </x:row>
    <x:row r="52" ht="36" customHeight="1">
      <x:c r="A52" s="1631" t="str">
        <x:v>Rupture</x:v>
      </x:c>
      <x:c r="B52" s="820" t="str">
        <x:v>咒印·伤势增幅</x:v>
      </x:c>
      <x:c r="C52" s="820" t="str">
        <x:v>天之咒印</x:v>
      </x:c>
      <x:c r="D52" s="820" t="str">
        <x:v>T3 高阶</x:v>
      </x:c>
      <x:c r="E52" s="820" t="str">
        <x:v>否</x:v>
      </x:c>
      <x:c r="F52" s="820" t="str">
        <x:v>否</x:v>
      </x:c>
      <x:c r="G52" s="820" t="n">
        <x:v>1</x:v>
      </x:c>
      <x:c r="H52" s="1643" t="str">
        <x:v>通过</x:v>
      </x:c>
    </x:row>
    <x:row r="53" ht="36" customHeight="1">
      <x:c r="A53" s="1631" t="str">
        <x:v>Second Wind</x:v>
      </x:c>
      <x:c r="B53" s="820" t="str">
        <x:v>大蛇丸流替身术</x:v>
      </x:c>
      <x:c r="C53" s="820" t="str">
        <x:v>大蛇丸流替身术</x:v>
      </x:c>
      <x:c r="D53" s="820" t="str">
        <x:v>T3 高阶</x:v>
      </x:c>
      <x:c r="E53" s="820" t="str">
        <x:v>否</x:v>
      </x:c>
      <x:c r="F53" s="820" t="str">
        <x:v>否</x:v>
      </x:c>
      <x:c r="G53" s="820" t="n">
        <x:v>1</x:v>
      </x:c>
      <x:c r="H53" s="1643" t="str">
        <x:v>通过</x:v>
      </x:c>
    </x:row>
    <x:row r="54" ht="36" customHeight="1">
      <x:c r="A54" s="1631" t="str">
        <x:v>Spite</x:v>
      </x:c>
      <x:c r="B54" s="820" t="str">
        <x:v>咒印·怨恨追击</x:v>
      </x:c>
      <x:c r="C54" s="820" t="str">
        <x:v>天之咒印</x:v>
      </x:c>
      <x:c r="D54" s="820" t="str">
        <x:v>T2 进阶</x:v>
      </x:c>
      <x:c r="E54" s="820" t="str">
        <x:v>否</x:v>
      </x:c>
      <x:c r="F54" s="820" t="str">
        <x:v>否</x:v>
      </x:c>
      <x:c r="G54" s="820" t="n">
        <x:v>1</x:v>
      </x:c>
      <x:c r="H54" s="1643" t="str">
        <x:v>通过</x:v>
      </x:c>
    </x:row>
    <x:row r="55" ht="36" customHeight="1">
      <x:c r="A55" s="1631" t="str">
        <x:v>Stampede</x:v>
      </x:c>
      <x:c r="B55" s="820" t="str">
        <x:v>咒印二·飞翔</x:v>
      </x:c>
      <x:c r="C55" s="820" t="str">
        <x:v>飞翔</x:v>
      </x:c>
      <x:c r="D55" s="820" t="str">
        <x:v>T3 高阶</x:v>
      </x:c>
      <x:c r="E55" s="820" t="str">
        <x:v>否</x:v>
      </x:c>
      <x:c r="F55" s="820" t="str">
        <x:v>否</x:v>
      </x:c>
      <x:c r="G55" s="820" t="n">
        <x:v>1</x:v>
      </x:c>
      <x:c r="H55" s="1643" t="str">
        <x:v>通过</x:v>
      </x:c>
    </x:row>
    <x:row r="56" ht="36" customHeight="1">
      <x:c r="A56" s="1631" t="str">
        <x:v>Stomp</x:v>
      </x:c>
      <x:c r="B56" s="820" t="str">
        <x:v>千鸟·落雷·震地</x:v>
      </x:c>
      <x:c r="C56" s="820" t="str">
        <x:v>千鸟·落雷</x:v>
      </x:c>
      <x:c r="D56" s="820" t="str">
        <x:v>T2 进阶</x:v>
      </x:c>
      <x:c r="E56" s="820" t="str">
        <x:v>否</x:v>
      </x:c>
      <x:c r="F56" s="820" t="str">
        <x:v>否</x:v>
      </x:c>
      <x:c r="G56" s="820" t="n">
        <x:v>1</x:v>
      </x:c>
      <x:c r="H56" s="1643" t="str">
        <x:v>通过</x:v>
      </x:c>
    </x:row>
    <x:row r="57" ht="36" customHeight="1">
      <x:c r="A57" s="1631" t="str">
        <x:v>Stone Armor</x:v>
      </x:c>
      <x:c r="B57" s="820" t="str">
        <x:v>蛇蜕·硬化</x:v>
      </x:c>
      <x:c r="C57" s="820" t="str">
        <x:v>大蛇丸流替身术</x:v>
      </x:c>
      <x:c r="D57" s="820" t="str">
        <x:v>T2 进阶</x:v>
      </x:c>
      <x:c r="E57" s="820" t="str">
        <x:v>否</x:v>
      </x:c>
      <x:c r="F57" s="820" t="str">
        <x:v>否</x:v>
      </x:c>
      <x:c r="G57" s="820" t="n">
        <x:v>1</x:v>
      </x:c>
      <x:c r="H57" s="1643" t="str">
        <x:v>通过</x:v>
      </x:c>
    </x:row>
    <x:row r="58" ht="36" customHeight="1">
      <x:c r="A58" s="1631" t="str">
        <x:v>Unrelenting</x:v>
      </x:c>
      <x:c r="B58" s="820" t="str">
        <x:v>千鸟锐枪</x:v>
      </x:c>
      <x:c r="C58" s="820" t="str">
        <x:v>千鸟锐枪</x:v>
      </x:c>
      <x:c r="D58" s="820" t="str">
        <x:v>T3 高阶</x:v>
      </x:c>
      <x:c r="E58" s="820" t="str">
        <x:v>否</x:v>
      </x:c>
      <x:c r="F58" s="820" t="str">
        <x:v>否</x:v>
      </x:c>
      <x:c r="G58" s="820" t="n">
        <x:v>1</x:v>
      </x:c>
      <x:c r="H58" s="1643" t="str">
        <x:v>通过</x:v>
      </x:c>
    </x:row>
    <x:row r="59" ht="36" customHeight="1">
      <x:c r="A59" s="1631" t="str">
        <x:v>Uppercut</x:v>
      </x:c>
      <x:c r="B59" s="820" t="str">
        <x:v>雷光狮子连弹·破势</x:v>
      </x:c>
      <x:c r="C59" s="820" t="str">
        <x:v>雷光狮子连弹</x:v>
      </x:c>
      <x:c r="D59" s="820" t="str">
        <x:v>T2 进阶</x:v>
      </x:c>
      <x:c r="E59" s="820" t="str">
        <x:v>是</x:v>
      </x:c>
      <x:c r="F59" s="820" t="str">
        <x:v>否</x:v>
      </x:c>
      <x:c r="G59" s="820" t="n">
        <x:v>1</x:v>
      </x:c>
      <x:c r="H59" s="1643" t="str">
        <x:v>通过</x:v>
      </x:c>
    </x:row>
    <x:row r="60" ht="36" customHeight="1">
      <x:c r="A60" s="1631" t="str">
        <x:v>Vicious</x:v>
      </x:c>
      <x:c r="B60" s="820" t="str">
        <x:v>写轮眼·弱点追读</x:v>
      </x:c>
      <x:c r="C60" s="820" t="str">
        <x:v>写轮眼</x:v>
      </x:c>
      <x:c r="D60" s="820" t="str">
        <x:v>T2 进阶</x:v>
      </x:c>
      <x:c r="E60" s="820" t="str">
        <x:v>是</x:v>
      </x:c>
      <x:c r="F60" s="820" t="str">
        <x:v>是</x:v>
      </x:c>
      <x:c r="G60" s="820" t="n">
        <x:v>1</x:v>
      </x:c>
      <x:c r="H60" s="1643" t="str">
        <x:v>通过</x:v>
      </x:c>
    </x:row>
    <x:row r="61" ht="36" customHeight="1">
      <x:c r="A61" s="1631" t="str">
        <x:v>Whirlwind</x:v>
      </x:c>
      <x:c r="B61" s="820" t="str">
        <x:v>千鸟流·剑刃风暴</x:v>
      </x:c>
      <x:c r="C61" s="820" t="str">
        <x:v>千鸟流</x:v>
      </x:c>
      <x:c r="D61" s="820" t="str">
        <x:v>T3 高阶</x:v>
      </x:c>
      <x:c r="E61" s="820" t="str">
        <x:v>否</x:v>
      </x:c>
      <x:c r="F61" s="820" t="str">
        <x:v>否</x:v>
      </x:c>
      <x:c r="G61" s="820" t="n">
        <x:v>1</x:v>
      </x:c>
      <x:c r="H61" s="1643" t="str">
        <x:v>通过</x:v>
      </x:c>
    </x:row>
    <x:row r="62" ht="36" customHeight="1">
      <x:c r="A62" s="1631" t="str">
        <x:v>Aggression</x:v>
      </x:c>
      <x:c r="B62" s="820" t="str">
        <x:v>千鸟刀·战法重铸</x:v>
      </x:c>
      <x:c r="C62" s="820" t="str">
        <x:v>草薙剑·千鸟刀</x:v>
      </x:c>
      <x:c r="D62" s="820" t="str">
        <x:v>T3 高阶</x:v>
      </x:c>
      <x:c r="E62" s="820" t="str">
        <x:v>否</x:v>
      </x:c>
      <x:c r="F62" s="820" t="str">
        <x:v>否</x:v>
      </x:c>
      <x:c r="G62" s="820" t="n">
        <x:v>1</x:v>
      </x:c>
      <x:c r="H62" s="1643" t="str">
        <x:v>通过</x:v>
      </x:c>
    </x:row>
    <x:row r="63" ht="36" customHeight="1">
      <x:c r="A63" s="1631" t="str">
        <x:v>Barricade</x:v>
      </x:c>
      <x:c r="B63" s="820" t="str">
        <x:v>蛇睨咒缚·防御阵</x:v>
      </x:c>
      <x:c r="C63" s="820" t="str">
        <x:v>蛇睨咒缚</x:v>
      </x:c>
      <x:c r="D63" s="820" t="str">
        <x:v>T3 高阶</x:v>
      </x:c>
      <x:c r="E63" s="820" t="str">
        <x:v>否</x:v>
      </x:c>
      <x:c r="F63" s="820" t="str">
        <x:v>否</x:v>
      </x:c>
      <x:c r="G63" s="820" t="n">
        <x:v>1</x:v>
      </x:c>
      <x:c r="H63" s="1643" t="str">
        <x:v>通过</x:v>
      </x:c>
    </x:row>
    <x:row r="64" ht="36" customHeight="1">
      <x:c r="A64" s="1631" t="str">
        <x:v>Brand</x:v>
      </x:c>
      <x:c r="B64" s="820" t="str">
        <x:v>天之咒印</x:v>
      </x:c>
      <x:c r="C64" s="820" t="str">
        <x:v>天之咒印</x:v>
      </x:c>
      <x:c r="D64" s="820" t="str">
        <x:v>T3 高阶</x:v>
      </x:c>
      <x:c r="E64" s="820" t="str">
        <x:v>否</x:v>
      </x:c>
      <x:c r="F64" s="820" t="str">
        <x:v>否</x:v>
      </x:c>
      <x:c r="G64" s="820" t="n">
        <x:v>1</x:v>
      </x:c>
      <x:c r="H64" s="1643" t="str">
        <x:v>通过</x:v>
      </x:c>
    </x:row>
    <x:row r="65" ht="36" customHeight="1">
      <x:c r="A65" s="1631" t="str">
        <x:v>Cascade</x:v>
      </x:c>
      <x:c r="B65" s="820" t="str">
        <x:v>咒印·连锁释放</x:v>
      </x:c>
      <x:c r="C65" s="820" t="str">
        <x:v>天之咒印</x:v>
      </x:c>
      <x:c r="D65" s="820" t="str">
        <x:v>T3 高阶</x:v>
      </x:c>
      <x:c r="E65" s="820" t="str">
        <x:v>否</x:v>
      </x:c>
      <x:c r="F65" s="820" t="str">
        <x:v>否</x:v>
      </x:c>
      <x:c r="G65" s="820" t="n">
        <x:v>1</x:v>
      </x:c>
      <x:c r="H65" s="1643" t="str">
        <x:v>通过</x:v>
      </x:c>
    </x:row>
    <x:row r="66" ht="36" customHeight="1">
      <x:c r="A66" s="1631" t="str">
        <x:v>Conflagration</x:v>
      </x:c>
      <x:c r="B66" s="820" t="str">
        <x:v>火遁·凤仙火之术</x:v>
      </x:c>
      <x:c r="C66" s="820" t="str">
        <x:v>火遁·凤仙火之术</x:v>
      </x:c>
      <x:c r="D66" s="820" t="str">
        <x:v>T3 高阶</x:v>
      </x:c>
      <x:c r="E66" s="820" t="str">
        <x:v>否</x:v>
      </x:c>
      <x:c r="F66" s="820" t="str">
        <x:v>否</x:v>
      </x:c>
      <x:c r="G66" s="820" t="n">
        <x:v>1</x:v>
      </x:c>
      <x:c r="H66" s="1643" t="str">
        <x:v>通过</x:v>
      </x:c>
    </x:row>
    <x:row r="67" ht="36" customHeight="1">
      <x:c r="A67" s="1631" t="str">
        <x:v>Crimson Mantle</x:v>
      </x:c>
      <x:c r="B67" s="820" t="str">
        <x:v>咒印·查克拉外衣</x:v>
      </x:c>
      <x:c r="C67" s="820" t="str">
        <x:v>天之咒印</x:v>
      </x:c>
      <x:c r="D67" s="820" t="str">
        <x:v>T3 高阶</x:v>
      </x:c>
      <x:c r="E67" s="820" t="str">
        <x:v>否</x:v>
      </x:c>
      <x:c r="F67" s="820" t="str">
        <x:v>否</x:v>
      </x:c>
      <x:c r="G67" s="820" t="n">
        <x:v>1</x:v>
      </x:c>
      <x:c r="H67" s="1643" t="str">
        <x:v>通过</x:v>
      </x:c>
    </x:row>
    <x:row r="68" ht="36" customHeight="1">
      <x:c r="A68" s="1631" t="str">
        <x:v>Dark Embrace</x:v>
      </x:c>
      <x:c r="B68" s="820" t="str">
        <x:v>咒印·吞噬回流</x:v>
      </x:c>
      <x:c r="C68" s="820" t="str">
        <x:v>天之咒印</x:v>
      </x:c>
      <x:c r="D68" s="820" t="str">
        <x:v>T3 高阶</x:v>
      </x:c>
      <x:c r="E68" s="820" t="str">
        <x:v>否</x:v>
      </x:c>
      <x:c r="F68" s="820" t="str">
        <x:v>否</x:v>
      </x:c>
      <x:c r="G68" s="820" t="n">
        <x:v>1</x:v>
      </x:c>
      <x:c r="H68" s="1643" t="str">
        <x:v>通过</x:v>
      </x:c>
    </x:row>
    <x:row r="69" ht="36" customHeight="1">
      <x:c r="A69" s="1631" t="str">
        <x:v>Demon Form</x:v>
      </x:c>
      <x:c r="B69" s="820" t="str">
        <x:v>天之咒印·状态二</x:v>
      </x:c>
      <x:c r="C69" s="820" t="str">
        <x:v>天之咒印·状态二</x:v>
      </x:c>
      <x:c r="D69" s="820" t="str">
        <x:v>T5 变身/终极</x:v>
      </x:c>
      <x:c r="E69" s="820" t="str">
        <x:v>否</x:v>
      </x:c>
      <x:c r="F69" s="820" t="str">
        <x:v>否</x:v>
      </x:c>
      <x:c r="G69" s="820" t="n">
        <x:v>1</x:v>
      </x:c>
      <x:c r="H69" s="1643" t="str">
        <x:v>通过</x:v>
      </x:c>
    </x:row>
    <x:row r="70" ht="36" customHeight="1">
      <x:c r="A70" s="1631" t="str">
        <x:v>Dominate</x:v>
      </x:c>
      <x:c r="B70" s="820" t="str">
        <x:v>写轮眼·支配破绽</x:v>
      </x:c>
      <x:c r="C70" s="820" t="str">
        <x:v>写轮眼</x:v>
      </x:c>
      <x:c r="D70" s="820" t="str">
        <x:v>T4 决战</x:v>
      </x:c>
      <x:c r="E70" s="820" t="str">
        <x:v>是</x:v>
      </x:c>
      <x:c r="F70" s="820" t="str">
        <x:v>是</x:v>
      </x:c>
      <x:c r="G70" s="820" t="n">
        <x:v>1</x:v>
      </x:c>
      <x:c r="H70" s="1643" t="str">
        <x:v>通过</x:v>
      </x:c>
    </x:row>
    <x:row r="71" ht="36" customHeight="1">
      <x:c r="A71" s="1631" t="str">
        <x:v>Feed</x:v>
      </x:c>
      <x:c r="B71" s="820" t="str">
        <x:v>万蛇·吞噬</x:v>
      </x:c>
      <x:c r="C71" s="820" t="str">
        <x:v>通灵之术（万蛇）</x:v>
      </x:c>
      <x:c r="D71" s="820" t="str">
        <x:v>T3 高阶</x:v>
      </x:c>
      <x:c r="E71" s="820" t="str">
        <x:v>否</x:v>
      </x:c>
      <x:c r="F71" s="820" t="str">
        <x:v>否</x:v>
      </x:c>
      <x:c r="G71" s="820" t="n">
        <x:v>1</x:v>
      </x:c>
      <x:c r="H71" s="1643" t="str">
        <x:v>通过</x:v>
      </x:c>
    </x:row>
    <x:row r="72" ht="36" customHeight="1">
      <x:c r="A72" s="1631" t="str">
        <x:v>Fiend Fire</x:v>
      </x:c>
      <x:c r="B72" s="820" t="str">
        <x:v>豪龙火·咒印连弹</x:v>
      </x:c>
      <x:c r="C72" s="820" t="str">
        <x:v>火遁·豪龙火之术</x:v>
      </x:c>
      <x:c r="D72" s="820" t="str">
        <x:v>T4 决战</x:v>
      </x:c>
      <x:c r="E72" s="820" t="str">
        <x:v>否</x:v>
      </x:c>
      <x:c r="F72" s="820" t="str">
        <x:v>否</x:v>
      </x:c>
      <x:c r="G72" s="820" t="n">
        <x:v>1</x:v>
      </x:c>
      <x:c r="H72" s="1643" t="str">
        <x:v>通过</x:v>
      </x:c>
    </x:row>
    <x:row r="73" ht="36" customHeight="1">
      <x:c r="A73" s="1631" t="str">
        <x:v>Hellraiser</x:v>
      </x:c>
      <x:c r="B73" s="820" t="str">
        <x:v>草薙剑·千鸟刀·乱舞</x:v>
      </x:c>
      <x:c r="C73" s="820" t="str">
        <x:v>草薙剑·千鸟刀</x:v>
      </x:c>
      <x:c r="D73" s="820" t="str">
        <x:v>T3 高阶</x:v>
      </x:c>
      <x:c r="E73" s="820" t="str">
        <x:v>否</x:v>
      </x:c>
      <x:c r="F73" s="820" t="str">
        <x:v>否</x:v>
      </x:c>
      <x:c r="G73" s="820" t="n">
        <x:v>1</x:v>
      </x:c>
      <x:c r="H73" s="1643" t="str">
        <x:v>通过</x:v>
      </x:c>
    </x:row>
    <x:row r="74" ht="36" customHeight="1">
      <x:c r="A74" s="1631" t="str">
        <x:v>Impervious</x:v>
      </x:c>
      <x:c r="B74" s="820" t="str">
        <x:v>咒印二·双翼防御</x:v>
      </x:c>
      <x:c r="C74" s="820" t="str">
        <x:v>天之咒印·状态二</x:v>
      </x:c>
      <x:c r="D74" s="820" t="str">
        <x:v>T4 决战</x:v>
      </x:c>
      <x:c r="E74" s="820" t="str">
        <x:v>否</x:v>
      </x:c>
      <x:c r="F74" s="820" t="str">
        <x:v>否</x:v>
      </x:c>
      <x:c r="G74" s="820" t="n">
        <x:v>1</x:v>
      </x:c>
      <x:c r="H74" s="1643" t="str">
        <x:v>通过</x:v>
      </x:c>
    </x:row>
    <x:row r="75" ht="36" customHeight="1">
      <x:c r="A75" s="1631" t="str">
        <x:v>Juggernaut</x:v>
      </x:c>
      <x:c r="B75" s="820" t="str">
        <x:v>千鸟流·雷铠反震</x:v>
      </x:c>
      <x:c r="C75" s="820" t="str">
        <x:v>千鸟流</x:v>
      </x:c>
      <x:c r="D75" s="820" t="str">
        <x:v>T3 高阶</x:v>
      </x:c>
      <x:c r="E75" s="820" t="str">
        <x:v>否</x:v>
      </x:c>
      <x:c r="F75" s="820" t="str">
        <x:v>否</x:v>
      </x:c>
      <x:c r="G75" s="820" t="n">
        <x:v>1</x:v>
      </x:c>
      <x:c r="H75" s="1643" t="str">
        <x:v>通过</x:v>
      </x:c>
    </x:row>
    <x:row r="76" ht="36" customHeight="1">
      <x:c r="A76" s="1631" t="str">
        <x:v>Mangle</x:v>
      </x:c>
      <x:c r="B76" s="820" t="str">
        <x:v>千鸟·查克拉刀</x:v>
      </x:c>
      <x:c r="C76" s="820" t="str">
        <x:v>千鸟·查克拉刀</x:v>
      </x:c>
      <x:c r="D76" s="820" t="str">
        <x:v>T3 高阶</x:v>
      </x:c>
      <x:c r="E76" s="820" t="str">
        <x:v>否</x:v>
      </x:c>
      <x:c r="F76" s="820" t="str">
        <x:v>否</x:v>
      </x:c>
      <x:c r="G76" s="820" t="n">
        <x:v>1</x:v>
      </x:c>
      <x:c r="H76" s="1643" t="str">
        <x:v>通过</x:v>
      </x:c>
    </x:row>
    <x:row r="77" ht="36" customHeight="1">
      <x:c r="A77" s="1631" t="str">
        <x:v>Not Yet</x:v>
      </x:c>
      <x:c r="B77" s="820" t="str">
        <x:v>白蛇之力</x:v>
      </x:c>
      <x:c r="C77" s="820" t="str">
        <x:v>白蛇之力</x:v>
      </x:c>
      <x:c r="D77" s="820" t="str">
        <x:v>T3 高阶</x:v>
      </x:c>
      <x:c r="E77" s="820" t="str">
        <x:v>否</x:v>
      </x:c>
      <x:c r="F77" s="820" t="str">
        <x:v>否</x:v>
      </x:c>
      <x:c r="G77" s="820" t="n">
        <x:v>1</x:v>
      </x:c>
      <x:c r="H77" s="1643" t="str">
        <x:v>通过</x:v>
      </x:c>
    </x:row>
    <x:row r="78" ht="36" customHeight="1">
      <x:c r="A78" s="1631" t="str">
        <x:v>Offering</x:v>
      </x:c>
      <x:c r="B78" s="820" t="str">
        <x:v>咒印·禁忌解放</x:v>
      </x:c>
      <x:c r="C78" s="820" t="str">
        <x:v>天之咒印</x:v>
      </x:c>
      <x:c r="D78" s="820" t="str">
        <x:v>T4 决战</x:v>
      </x:c>
      <x:c r="E78" s="820" t="str">
        <x:v>否</x:v>
      </x:c>
      <x:c r="F78" s="820" t="str">
        <x:v>否</x:v>
      </x:c>
      <x:c r="G78" s="820" t="n">
        <x:v>1</x:v>
      </x:c>
      <x:c r="H78" s="1643" t="str">
        <x:v>通过</x:v>
      </x:c>
    </x:row>
    <x:row r="79" ht="36" customHeight="1">
      <x:c r="A79" s="1631" t="str">
        <x:v>One-Two Punch</x:v>
      </x:c>
      <x:c r="B79" s="820" t="str">
        <x:v>雷光狮子连弹·二段追击</x:v>
      </x:c>
      <x:c r="C79" s="820" t="str">
        <x:v>雷光狮子连弹</x:v>
      </x:c>
      <x:c r="D79" s="820" t="str">
        <x:v>T3 高阶</x:v>
      </x:c>
      <x:c r="E79" s="820" t="str">
        <x:v>否</x:v>
      </x:c>
      <x:c r="F79" s="820" t="str">
        <x:v>否</x:v>
      </x:c>
      <x:c r="G79" s="820" t="n">
        <x:v>1</x:v>
      </x:c>
      <x:c r="H79" s="1643" t="str">
        <x:v>通过</x:v>
      </x:c>
    </x:row>
    <x:row r="80" ht="36" customHeight="1">
      <x:c r="A80" s="1631" t="str">
        <x:v>Pact's End</x:v>
      </x:c>
      <x:c r="B80" s="820" t="str">
        <x:v>豪龙火·雷云引动</x:v>
      </x:c>
      <x:c r="C80" s="820" t="str">
        <x:v>火遁·豪龙火之术</x:v>
      </x:c>
      <x:c r="D80" s="820" t="str">
        <x:v>T4 决战</x:v>
      </x:c>
      <x:c r="E80" s="820" t="str">
        <x:v>否</x:v>
      </x:c>
      <x:c r="F80" s="820" t="str">
        <x:v>否</x:v>
      </x:c>
      <x:c r="G80" s="820" t="n">
        <x:v>1</x:v>
      </x:c>
      <x:c r="H80" s="1643" t="str">
        <x:v>通过</x:v>
      </x:c>
    </x:row>
    <x:row r="81" ht="36" customHeight="1">
      <x:c r="A81" s="1631" t="str">
        <x:v>Primal Force</x:v>
      </x:c>
      <x:c r="B81" s="820" t="str">
        <x:v>千鸟锐枪·查克拉压缩</x:v>
      </x:c>
      <x:c r="C81" s="820" t="str">
        <x:v>千鸟锐枪</x:v>
      </x:c>
      <x:c r="D81" s="820" t="str">
        <x:v>T3 高阶</x:v>
      </x:c>
      <x:c r="E81" s="820" t="str">
        <x:v>否</x:v>
      </x:c>
      <x:c r="F81" s="820" t="str">
        <x:v>否</x:v>
      </x:c>
      <x:c r="G81" s="820" t="n">
        <x:v>1</x:v>
      </x:c>
      <x:c r="H81" s="1643" t="str">
        <x:v>通过</x:v>
      </x:c>
    </x:row>
    <x:row r="82" ht="36" customHeight="1">
      <x:c r="A82" s="1631" t="str">
        <x:v>Pyre</x:v>
      </x:c>
      <x:c r="B82" s="820" t="str">
        <x:v>豪龙火·雷云蓄势</x:v>
      </x:c>
      <x:c r="C82" s="820" t="str">
        <x:v>火遁·豪龙火之术</x:v>
      </x:c>
      <x:c r="D82" s="820" t="str">
        <x:v>T3 高阶</x:v>
      </x:c>
      <x:c r="E82" s="820" t="str">
        <x:v>否</x:v>
      </x:c>
      <x:c r="F82" s="820" t="str">
        <x:v>否</x:v>
      </x:c>
      <x:c r="G82" s="820" t="n">
        <x:v>1</x:v>
      </x:c>
      <x:c r="H82" s="1643" t="str">
        <x:v>通过</x:v>
      </x:c>
    </x:row>
    <x:row r="83" ht="36" customHeight="1">
      <x:c r="A83" s="1631" t="str">
        <x:v>Stoke</x:v>
      </x:c>
      <x:c r="B83" s="820" t="str">
        <x:v>火遁·豪火球·炉心重铸</x:v>
      </x:c>
      <x:c r="C83" s="820" t="str">
        <x:v>火遁·豪火球之术</x:v>
      </x:c>
      <x:c r="D83" s="820" t="str">
        <x:v>T3 高阶</x:v>
      </x:c>
      <x:c r="E83" s="820" t="str">
        <x:v>否</x:v>
      </x:c>
      <x:c r="F83" s="820" t="str">
        <x:v>否</x:v>
      </x:c>
      <x:c r="G83" s="820" t="n">
        <x:v>1</x:v>
      </x:c>
      <x:c r="H83" s="1643" t="str">
        <x:v>通过</x:v>
      </x:c>
    </x:row>
    <x:row r="84" ht="36" customHeight="1">
      <x:c r="A84" s="1631" t="str">
        <x:v>Tear Asunder</x:v>
      </x:c>
      <x:c r="B84" s="820" t="str">
        <x:v>羽击千鸟</x:v>
      </x:c>
      <x:c r="C84" s="820" t="str">
        <x:v>羽击千鸟</x:v>
      </x:c>
      <x:c r="D84" s="820" t="str">
        <x:v>T5 变身/终极</x:v>
      </x:c>
      <x:c r="E84" s="820" t="str">
        <x:v>否</x:v>
      </x:c>
      <x:c r="F84" s="820" t="str">
        <x:v>否</x:v>
      </x:c>
      <x:c r="G84" s="820" t="n">
        <x:v>1</x:v>
      </x:c>
      <x:c r="H84" s="1643" t="str">
        <x:v>通过</x:v>
      </x:c>
    </x:row>
    <x:row r="85" ht="36" customHeight="1">
      <x:c r="A85" s="1631" t="str">
        <x:v>Thrash</x:v>
      </x:c>
      <x:c r="B85" s="820" t="str">
        <x:v>千鸟刀·吞式</x:v>
      </x:c>
      <x:c r="C85" s="820" t="str">
        <x:v>草薙剑·千鸟刀</x:v>
      </x:c>
      <x:c r="D85" s="820" t="str">
        <x:v>T3 高阶</x:v>
      </x:c>
      <x:c r="E85" s="820" t="str">
        <x:v>否</x:v>
      </x:c>
      <x:c r="F85" s="820" t="str">
        <x:v>否</x:v>
      </x:c>
      <x:c r="G85" s="820" t="n">
        <x:v>1</x:v>
      </x:c>
      <x:c r="H85" s="1643" t="str">
        <x:v>通过</x:v>
      </x:c>
    </x:row>
    <x:row r="86" ht="36" customHeight="1">
      <x:c r="A86" s="1631" t="str">
        <x:v>Unmovable</x:v>
      </x:c>
      <x:c r="B86" s="820" t="str">
        <x:v>咒印二·翼盾</x:v>
      </x:c>
      <x:c r="C86" s="820" t="str">
        <x:v>天之咒印·状态二</x:v>
      </x:c>
      <x:c r="D86" s="820" t="str">
        <x:v>T4 决战</x:v>
      </x:c>
      <x:c r="E86" s="820" t="str">
        <x:v>否</x:v>
      </x:c>
      <x:c r="F86" s="820" t="str">
        <x:v>否</x:v>
      </x:c>
      <x:c r="G86" s="820" t="n">
        <x:v>1</x:v>
      </x:c>
      <x:c r="H86" s="1643" t="str">
        <x:v>通过</x:v>
      </x:c>
    </x:row>
    <x:row r="87" ht="36" customHeight="1">
      <x:c r="A87" s="1631" t="str">
        <x:v>Blaze</x:v>
      </x:c>
      <x:c r="B87" s="820" t="str">
        <x:v>火遁·查克拉传递</x:v>
      </x:c>
      <x:c r="C87" s="820" t="str">
        <x:v>火遁·豪火球之术</x:v>
      </x:c>
      <x:c r="D87" s="820" t="str">
        <x:v>T2 进阶</x:v>
      </x:c>
      <x:c r="E87" s="820" t="str">
        <x:v>否</x:v>
      </x:c>
      <x:c r="F87" s="820" t="str">
        <x:v>否</x:v>
      </x:c>
      <x:c r="G87" s="820" t="n">
        <x:v>1</x:v>
      </x:c>
      <x:c r="H87" s="1643" t="str">
        <x:v>通过</x:v>
      </x:c>
    </x:row>
    <x:row r="88" ht="36" customHeight="1">
      <x:c r="A88" s="1631" t="str">
        <x:v>Demonic Shield</x:v>
      </x:c>
      <x:c r="B88" s="820" t="str">
        <x:v>咒印二·翼盾转护</x:v>
      </x:c>
      <x:c r="C88" s="820" t="str">
        <x:v>天之咒印·状态二</x:v>
      </x:c>
      <x:c r="D88" s="820" t="str">
        <x:v>T3 高阶</x:v>
      </x:c>
      <x:c r="E88" s="820" t="str">
        <x:v>否</x:v>
      </x:c>
      <x:c r="F88" s="820" t="str">
        <x:v>否</x:v>
      </x:c>
      <x:c r="G88" s="820" t="n">
        <x:v>1</x:v>
      </x:c>
      <x:c r="H88" s="1643" t="str">
        <x:v>通过</x:v>
      </x:c>
    </x:row>
    <x:row r="89" ht="36" customHeight="1">
      <x:c r="A89" s="1631" t="str">
        <x:v>Outrage</x:v>
      </x:c>
      <x:c r="B89" s="820" t="str">
        <x:v>操手里剑·共鸣散射</x:v>
      </x:c>
      <x:c r="C89" s="820" t="str">
        <x:v>操手里剑之术</x:v>
      </x:c>
      <x:c r="D89" s="820" t="str">
        <x:v>T3 高阶</x:v>
      </x:c>
      <x:c r="E89" s="820" t="str">
        <x:v>否</x:v>
      </x:c>
      <x:c r="F89" s="820" t="str">
        <x:v>否</x:v>
      </x:c>
      <x:c r="G89" s="820" t="n">
        <x:v>1</x:v>
      </x:c>
      <x:c r="H89" s="1643" t="str">
        <x:v>通过</x:v>
      </x:c>
    </x:row>
    <x:row r="90" ht="36" customHeight="1">
      <x:c r="A90" s="1631" t="str">
        <x:v>Midnight</x:v>
      </x:c>
      <x:c r="B90" s="820" t="str">
        <x:v>麒麟</x:v>
      </x:c>
      <x:c r="C90" s="820" t="str">
        <x:v>麒麟</x:v>
      </x:c>
      <x:c r="D90" s="820" t="str">
        <x:v>T5 变身/终极</x:v>
      </x:c>
      <x:c r="E90" s="820" t="str">
        <x:v>否</x:v>
      </x:c>
      <x:c r="F90" s="820" t="str">
        <x:v>否</x:v>
      </x:c>
      <x:c r="G90" s="820" t="n">
        <x:v>1</x:v>
      </x:c>
      <x:c r="H90" s="1643" t="str">
        <x:v>通过</x:v>
      </x:c>
    </x:row>
    <x:row r="91" ht="36" customHeight="1">
      <x:c r="A91" s="1631" t="str">
        <x:v>Tank</x:v>
      </x:c>
      <x:c r="B91" s="820" t="str">
        <x:v>咒印二·双翼庇护</x:v>
      </x:c>
      <x:c r="C91" s="820" t="str">
        <x:v>天之咒印·状态二</x:v>
      </x:c>
      <x:c r="D91" s="820" t="str">
        <x:v>T4 决战</x:v>
      </x:c>
      <x:c r="E91" s="820" t="str">
        <x:v>否</x:v>
      </x:c>
      <x:c r="F91" s="820" t="str">
        <x:v>否</x:v>
      </x:c>
      <x:c r="G91" s="820" t="n">
        <x:v>1</x:v>
      </x:c>
      <x:c r="H91" s="1643" t="str">
        <x:v>通过</x:v>
      </x:c>
    </x:row>
    <x:row r="92" ht="36" customHeight="1">
      <x:c r="A92" s="1644" t="str">
        <x:v>Giant Rock</x:v>
      </x:c>
      <x:c r="B92" s="1645" t="str">
        <x:v>千鸟锐枪·贯穿</x:v>
      </x:c>
      <x:c r="C92" s="1645" t="str">
        <x:v>千鸟锐枪</x:v>
      </x:c>
      <x:c r="D92" s="1645" t="str">
        <x:v>T3 高阶</x:v>
      </x:c>
      <x:c r="E92" s="1645" t="str">
        <x:v>否</x:v>
      </x:c>
      <x:c r="F92" s="1645" t="str">
        <x:v>否</x:v>
      </x:c>
      <x:c r="G92" s="1645" t="n">
        <x:v>1</x:v>
      </x:c>
      <x:c r="H92" s="1646" t="str">
        <x:v>通过</x:v>
      </x:c>
    </x:row>
  </x:sheetData>
  <x:mergeCells>
    <x:mergeCell ref="A1:F1"/>
    <x:mergeCell ref="A1:G1"/>
    <x:mergeCell ref="A1:H1"/>
  </x:mergeCells>
  <x:conditionalFormatting sqref="F4:F92">
    <x:cfRule type="expression" dxfId="24" priority="1">
      <x:formula>F4="重复"</x:formula>
    </x:cfRule>
    <x:cfRule type="expression" dxfId="25" priority="2">
      <x:formula>F4="通过"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794970dd5143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34" hidden="0" customWidth="1"/>
    <x:col min="5" max="5" width="31" hidden="0" customWidth="1"/>
    <x:col min="6" max="6" width="15" hidden="0" customWidth="1"/>
    <x:col min="7" max="7" width="62" hidden="0" customWidth="1"/>
    <x:col min="8" max="8" width="22" hidden="0" customWidth="1"/>
    <x:col min="9" max="9" width="12" hidden="0" customWidth="1"/>
    <x:col min="11" max="11" width="23" hidden="0" customWidth="1"/>
    <x:col min="12" max="12" width="14" hidden="0" customWidth="1"/>
    <x:col min="10" max="10" width="18" hidden="0" customWidth="1"/>
  </x:cols>
  <x:sheetData>
    <x:row r="1">
      <x:c r="A1" s="1806" t="str">
        <x:v>佐助卡牌命名：Web复核后限定时期、强度与唯一性校验</x:v>
      </x:c>
      <x:c r="B1" s="1806"/>
      <x:c r="C1" s="1806"/>
      <x:c r="D1" s="1806"/>
      <x:c r="E1" s="1806"/>
      <x:c r="F1" s="1806"/>
      <x:c r="G1" s="1806"/>
      <x:c r="H1" s="1806"/>
      <x:c r="I1" s="1806"/>
      <x:c r="J1" s="1807"/>
    </x:row>
    <x:row r="2">
      <x:c r="K2" s="983"/>
      <x:c r="L2" s="983"/>
    </x:row>
    <x:row r="3">
      <x:c r="A3" s="1798" t="str">
        <x:v>卡牌英文名</x:v>
      </x:c>
      <x:c r="B3" s="1798" t="str">
        <x:v>稀有度</x:v>
      </x:c>
      <x:c r="C3" s="1798" t="str">
        <x:v>费用</x:v>
      </x:c>
      <x:c r="D3" s="1798" t="str">
        <x:v>最终面板名</x:v>
      </x:c>
      <x:c r="E3" s="1798" t="str">
        <x:v>真实依据</x:v>
      </x:c>
      <x:c r="F3" s="1798" t="str">
        <x:v>强度档位</x:v>
      </x:c>
      <x:c r="G3" s="1798" t="str">
        <x:v>限定时期实际使用说明</x:v>
      </x:c>
      <x:c r="H3" s="1798" t="str">
        <x:v>目录状态</x:v>
      </x:c>
      <x:c r="I3" s="1798" t="str">
        <x:v>唯一性</x:v>
      </x:c>
      <x:c r="J3" s="1798" t="str">
        <x:v>备注</x:v>
      </x:c>
      <x:c r="K3" s="985"/>
      <x:c r="L3" s="986"/>
    </x:row>
    <x:row r="4" ht="40" customHeight="1">
      <x:c r="A4" s="1808" t="str">
        <x:v>Bash</x:v>
      </x:c>
      <x:c r="B4" s="1809" t="str">
        <x:v>基础</x:v>
      </x:c>
      <x:c r="C4" s="1809" t="str">
        <x:v>2</x:v>
      </x:c>
      <x:c r="D4" s="1809" t="str">
        <x:v>写轮眼·破势</x:v>
      </x:c>
      <x:c r="E4" s="1809" t="str">
        <x:v>写轮眼</x:v>
      </x:c>
      <x:c r="F4" s="1809" t="str">
        <x:v>T2 进阶</x:v>
      </x:c>
      <x:c r="G4" s="1809" t="str">
        <x:v>白衣/Hebi与兄弟之战中实际开启，用于观察、预判和幻术。</x:v>
      </x:c>
      <x:c r="H4" s="1809" t="str">
        <x:v>核心目录</x:v>
      </x:c>
      <x:c r="I4" s="1809" t="str">
        <x:v>通过</x:v>
      </x:c>
      <x:c r="J4" s="1810" t="str"/>
      <x:c r="K4" s="987"/>
      <x:c r="L4" s="988"/>
    </x:row>
    <x:row r="5" ht="40" customHeight="1">
      <x:c r="A5" s="1740" t="str">
        <x:v>Defend (Ironclad)</x:v>
      </x:c>
      <x:c r="B5" s="820" t="str">
        <x:v>基础</x:v>
      </x:c>
      <x:c r="C5" s="820" t="str">
        <x:v>1</x:v>
      </x:c>
      <x:c r="D5" s="820" t="str">
        <x:v>草薙剑·剑御</x:v>
      </x:c>
      <x:c r="E5" s="820" t="str">
        <x:v>居合</x:v>
      </x:c>
      <x:c r="F5" s="820" t="str">
        <x:v>T1 基础</x:v>
      </x:c>
      <x:c r="G5" s="820" t="str">
        <x:v>白衣/Hebi与兄弟之战的基础草薙剑近战体系。</x:v>
      </x:c>
      <x:c r="H5" s="820" t="str">
        <x:v>动作根目录</x:v>
      </x:c>
      <x:c r="I5" s="820" t="str">
        <x:v>通过</x:v>
      </x:c>
      <x:c r="J5" s="1741" t="str"/>
      <x:c r="K5" s="987"/>
      <x:c r="L5" s="988"/>
    </x:row>
    <x:row r="6" ht="40" customHeight="1">
      <x:c r="A6" s="1740" t="str">
        <x:v>Strike (Ironclad)</x:v>
      </x:c>
      <x:c r="B6" s="820" t="str">
        <x:v>基础</x:v>
      </x:c>
      <x:c r="C6" s="820" t="str">
        <x:v>1</x:v>
      </x:c>
      <x:c r="D6" s="820" t="str">
        <x:v>草薙剑·瞬斩</x:v>
      </x:c>
      <x:c r="E6" s="820" t="str">
        <x:v>居合</x:v>
      </x:c>
      <x:c r="F6" s="820" t="str">
        <x:v>T1 基础</x:v>
      </x:c>
      <x:c r="G6" s="820" t="str">
        <x:v>白衣/Hebi与兄弟之战的基础草薙剑近战体系。</x:v>
      </x:c>
      <x:c r="H6" s="820" t="str">
        <x:v>动作根目录</x:v>
      </x:c>
      <x:c r="I6" s="820" t="str">
        <x:v>通过</x:v>
      </x:c>
      <x:c r="J6" s="1741" t="str"/>
      <x:c r="K6" s="987"/>
      <x:c r="L6" s="988"/>
    </x:row>
    <x:row r="7" ht="40" customHeight="1">
      <x:c r="A7" s="1740" t="str">
        <x:v>Anger</x:v>
      </x:c>
      <x:c r="B7" s="820" t="str">
        <x:v>普通</x:v>
      </x:c>
      <x:c r="C7" s="820" t="str">
        <x:v>0</x:v>
      </x:c>
      <x:c r="D7" s="820" t="str">
        <x:v>操手里剑·影袭</x:v>
      </x:c>
      <x:c r="E7" s="820" t="str">
        <x:v>操手里剑之术</x:v>
      </x:c>
      <x:c r="F7" s="820" t="str">
        <x:v>T1 基础</x:v>
      </x:c>
      <x:c r="G7" s="820" t="str">
        <x:v>白衣/Hebi对迪达拉战实际使用，首次出现于漫画第358话。</x:v>
      </x:c>
      <x:c r="H7" s="820" t="str">
        <x:v>核心目录</x:v>
      </x:c>
      <x:c r="I7" s="820" t="str">
        <x:v>通过</x:v>
      </x:c>
      <x:c r="J7" s="1741" t="str"/>
      <x:c r="K7" s="987"/>
      <x:c r="L7" s="988"/>
    </x:row>
    <x:row r="8" ht="40" customHeight="1">
      <x:c r="A8" s="1740" t="str">
        <x:v>Armaments</x:v>
      </x:c>
      <x:c r="B8" s="820" t="str">
        <x:v>普通</x:v>
      </x:c>
      <x:c r="C8" s="820" t="str">
        <x:v>1</x:v>
      </x:c>
      <x:c r="D8" s="820" t="str">
        <x:v>通灵·雷光剑化</x:v>
      </x:c>
      <x:c r="E8" s="820" t="str">
        <x:v>通灵·雷光剑化</x:v>
      </x:c>
      <x:c r="F8" s="820" t="str">
        <x:v>T2 进阶</x:v>
      </x:c>
      <x:c r="G8" s="820" t="str">
        <x:v>兄弟之战中通过手腕封印实际召唤风魔手里剑和忍具。</x:v>
      </x:c>
      <x:c r="H8" s="820" t="str">
        <x:v>核心目录</x:v>
      </x:c>
      <x:c r="I8" s="820" t="str">
        <x:v>通过</x:v>
      </x:c>
      <x:c r="J8" s="1741" t="str"/>
      <x:c r="K8" s="987"/>
      <x:c r="L8" s="988"/>
    </x:row>
    <x:row r="9" ht="40" customHeight="1">
      <x:c r="A9" s="1740" t="str">
        <x:v>Blood Wall</x:v>
      </x:c>
      <x:c r="B9" s="820" t="str">
        <x:v>普通</x:v>
      </x:c>
      <x:c r="C9" s="820" t="str">
        <x:v>2</x:v>
      </x:c>
      <x:c r="D9" s="820" t="str">
        <x:v>咒印·血界</x:v>
      </x:c>
      <x:c r="E9" s="820" t="str">
        <x:v>天之咒印</x:v>
      </x:c>
      <x:c r="F9" s="820" t="str">
        <x:v>T2 进阶</x:v>
      </x:c>
      <x:c r="G9" s="820" t="str">
        <x:v>白衣/Hebi对大蛇丸、迪达拉及鼬的战斗中实际激活。</x:v>
      </x:c>
      <x:c r="H9" s="820" t="str">
        <x:v>核心目录</x:v>
      </x:c>
      <x:c r="I9" s="820" t="str">
        <x:v>通过</x:v>
      </x:c>
      <x:c r="J9" s="1741" t="str"/>
      <x:c r="K9" s="987"/>
      <x:c r="L9" s="988"/>
    </x:row>
    <x:row r="10" ht="40" customHeight="1">
      <x:c r="A10" s="1740" t="str">
        <x:v>Body Slam</x:v>
      </x:c>
      <x:c r="B10" s="820" t="str">
        <x:v>普通</x:v>
      </x:c>
      <x:c r="C10" s="820" t="str">
        <x:v>1→0</x:v>
      </x:c>
      <x:c r="D10" s="820" t="str">
        <x:v>千鸟·落雷</x:v>
      </x:c>
      <x:c r="E10" s="820" t="str">
        <x:v>千鸟·落雷</x:v>
      </x:c>
      <x:c r="F10" s="820" t="str">
        <x:v>T2 进阶</x:v>
      </x:c>
      <x:c r="G10" s="820" t="str">
        <x:v>《究极风暴》白衣/Hebi佐助空中雷遁附剑下砸动作。</x:v>
      </x:c>
      <x:c r="H10" s="820" t="str">
        <x:v>核心目录</x:v>
      </x:c>
      <x:c r="I10" s="820" t="str">
        <x:v>通过</x:v>
      </x:c>
      <x:c r="J10" s="1741" t="str"/>
      <x:c r="K10" s="987"/>
      <x:c r="L10" s="988"/>
    </x:row>
    <x:row r="11" ht="40" customHeight="1">
      <x:c r="A11" s="1740" t="str">
        <x:v>Breakthrough</x:v>
      </x:c>
      <x:c r="B11" s="820" t="str">
        <x:v>普通</x:v>
      </x:c>
      <x:c r="C11" s="820" t="str">
        <x:v>1</x:v>
      </x:c>
      <x:c r="D11" s="820" t="str">
        <x:v>千鸟流·突围</x:v>
      </x:c>
      <x:c r="E11" s="820" t="str">
        <x:v>千鸟流</x:v>
      </x:c>
      <x:c r="F11" s="820" t="str">
        <x:v>T2 进阶</x:v>
      </x:c>
      <x:c r="G11" s="820" t="str">
        <x:v>白衣/Hebi代表性周身放电招式，兼具攻击与防御。</x:v>
      </x:c>
      <x:c r="H11" s="820" t="str">
        <x:v>核心目录</x:v>
      </x:c>
      <x:c r="I11" s="820" t="str">
        <x:v>通过</x:v>
      </x:c>
      <x:c r="J11" s="1741" t="str"/>
      <x:c r="K11" s="989"/>
      <x:c r="L11" s="990"/>
    </x:row>
    <x:row r="12" ht="40" customHeight="1">
      <x:c r="A12" s="1740" t="str">
        <x:v>Cinder</x:v>
      </x:c>
      <x:c r="B12" s="820" t="str">
        <x:v>普通</x:v>
      </x:c>
      <x:c r="C12" s="820" t="str">
        <x:v>2</x:v>
      </x:c>
      <x:c r="D12" s="820" t="str">
        <x:v>火遁·豪火球之术·落火</x:v>
      </x:c>
      <x:c r="E12" s="820" t="str">
        <x:v>火遁·豪火球之术·落火</x:v>
      </x:c>
      <x:c r="F12" s="820" t="str">
        <x:v>T2 进阶</x:v>
      </x:c>
      <x:c r="G12" s="820" t="str">
        <x:v>《究极风暴》白衣/Hebi佐助的剑术连段收尾招式。</x:v>
      </x:c>
      <x:c r="H12" s="820" t="str">
        <x:v>补回目录</x:v>
      </x:c>
      <x:c r="I12" s="820" t="str">
        <x:v>通过</x:v>
      </x:c>
      <x:c r="J12" s="1741" t="str"/>
    </x:row>
    <x:row r="13" ht="40" customHeight="1">
      <x:c r="A13" s="1740" t="str">
        <x:v>Havoc</x:v>
      </x:c>
      <x:c r="B13" s="820" t="str">
        <x:v>普通</x:v>
      </x:c>
      <x:c r="C13" s="820" t="str">
        <x:v>1→0</x:v>
      </x:c>
      <x:c r="D13" s="820" t="str">
        <x:v>咒印·暴流</x:v>
      </x:c>
      <x:c r="E13" s="820" t="str">
        <x:v>天之咒印</x:v>
      </x:c>
      <x:c r="F13" s="820" t="str">
        <x:v>T2 进阶</x:v>
      </x:c>
      <x:c r="G13" s="820" t="str">
        <x:v>白衣/Hebi对大蛇丸、迪达拉及鼬的战斗中实际激活。</x:v>
      </x:c>
      <x:c r="H13" s="820" t="str">
        <x:v>核心目录</x:v>
      </x:c>
      <x:c r="I13" s="820" t="str">
        <x:v>通过</x:v>
      </x:c>
      <x:c r="J13" s="1741" t="str"/>
    </x:row>
    <x:row r="14" ht="40" customHeight="1">
      <x:c r="A14" s="1740" t="str">
        <x:v>Headbutt</x:v>
      </x:c>
      <x:c r="B14" s="820" t="str">
        <x:v>普通</x:v>
      </x:c>
      <x:c r="C14" s="820" t="str">
        <x:v>1</x:v>
      </x:c>
      <x:c r="D14" s="820" t="str">
        <x:v>雷光狮子连弹·冲膝</x:v>
      </x:c>
      <x:c r="E14" s="820" t="str">
        <x:v>雷光狮子连弹</x:v>
      </x:c>
      <x:c r="F14" s="820" t="str">
        <x:v>T1 基础</x:v>
      </x:c>
      <x:c r="G14" s="820" t="str">
        <x:v>《究极风暴》白衣/Hebi佐助的雷遁体术连段。</x:v>
      </x:c>
      <x:c r="H14" s="820" t="str">
        <x:v>核心目录</x:v>
      </x:c>
      <x:c r="I14" s="820" t="str">
        <x:v>通过</x:v>
      </x:c>
      <x:c r="J14" s="1741" t="str"/>
    </x:row>
    <x:row r="15" ht="40" customHeight="1">
      <x:c r="A15" s="1740" t="str">
        <x:v>Iron Wave</x:v>
      </x:c>
      <x:c r="B15" s="820" t="str">
        <x:v>普通</x:v>
      </x:c>
      <x:c r="C15" s="820" t="str">
        <x:v>1</x:v>
      </x:c>
      <x:c r="D15" s="820" t="str">
        <x:v>草薙剑·千鸟刀</x:v>
      </x:c>
      <x:c r="E15" s="820" t="str">
        <x:v>草薙剑·千鸟刀</x:v>
      </x:c>
      <x:c r="F15" s="820" t="str">
        <x:v>T2 进阶</x:v>
      </x:c>
      <x:c r="G15" s="820" t="str">
        <x:v>白衣/Hebi与兄弟之战实际使用的雷遁附剑体系。</x:v>
      </x:c>
      <x:c r="H15" s="820" t="str">
        <x:v>核心目录</x:v>
      </x:c>
      <x:c r="I15" s="820" t="str">
        <x:v>通过</x:v>
      </x:c>
      <x:c r="J15" s="1741" t="str"/>
    </x:row>
    <x:row r="16" ht="40" customHeight="1">
      <x:c r="A16" s="1740" t="str">
        <x:v>Molten Fist</x:v>
      </x:c>
      <x:c r="B16" s="820" t="str">
        <x:v>普通</x:v>
      </x:c>
      <x:c r="C16" s="820" t="str">
        <x:v>1</x:v>
      </x:c>
      <x:c r="D16" s="820" t="str">
        <x:v>写轮眼·裂隙拳</x:v>
      </x:c>
      <x:c r="E16" s="820" t="str">
        <x:v>写轮眼</x:v>
      </x:c>
      <x:c r="F16" s="820" t="str">
        <x:v>T2 进阶</x:v>
      </x:c>
      <x:c r="G16" s="820" t="str">
        <x:v>白衣/Hebi与兄弟之战中实际开启，用于观察、预判和幻术。</x:v>
      </x:c>
      <x:c r="H16" s="820" t="str">
        <x:v>核心目录</x:v>
      </x:c>
      <x:c r="I16" s="820" t="str">
        <x:v>通过</x:v>
      </x:c>
      <x:c r="J16" s="1741" t="str"/>
    </x:row>
    <x:row r="17" ht="40" customHeight="1">
      <x:c r="A17" s="1740" t="str">
        <x:v>Perfected Strike</x:v>
      </x:c>
      <x:c r="B17" s="820" t="str">
        <x:v>普通</x:v>
      </x:c>
      <x:c r="C17" s="820" t="str">
        <x:v>2</x:v>
      </x:c>
      <x:c r="D17" s="820" t="str">
        <x:v>草薙剑·千鸟连式</x:v>
      </x:c>
      <x:c r="E17" s="820" t="str">
        <x:v>草薙剑·千鸟刀</x:v>
      </x:c>
      <x:c r="F17" s="820" t="str">
        <x:v>T3 高阶</x:v>
      </x:c>
      <x:c r="G17" s="820" t="str">
        <x:v>白衣/Hebi与兄弟之战实际使用的雷遁附剑体系。</x:v>
      </x:c>
      <x:c r="H17" s="820" t="str">
        <x:v>核心目录</x:v>
      </x:c>
      <x:c r="I17" s="820" t="str">
        <x:v>通过</x:v>
      </x:c>
      <x:c r="J17" s="1741" t="str"/>
    </x:row>
    <x:row r="18" ht="40" customHeight="1">
      <x:c r="A18" s="1740" t="str">
        <x:v>Pommel Strike</x:v>
      </x:c>
      <x:c r="B18" s="820" t="str">
        <x:v>普通</x:v>
      </x:c>
      <x:c r="C18" s="820" t="str">
        <x:v>1</x:v>
      </x:c>
      <x:c r="D18" s="820" t="str">
        <x:v>草薙剑·柄击</x:v>
      </x:c>
      <x:c r="E18" s="820" t="str">
        <x:v>居合</x:v>
      </x:c>
      <x:c r="F18" s="820" t="str">
        <x:v>T1 基础</x:v>
      </x:c>
      <x:c r="G18" s="820" t="str">
        <x:v>白衣/Hebi与兄弟之战的基础草薙剑近战体系。</x:v>
      </x:c>
      <x:c r="H18" s="820" t="str">
        <x:v>动作根目录</x:v>
      </x:c>
      <x:c r="I18" s="820" t="str">
        <x:v>通过</x:v>
      </x:c>
      <x:c r="J18" s="1741" t="str"/>
    </x:row>
    <x:row r="19" ht="40" customHeight="1">
      <x:c r="A19" s="1740" t="str">
        <x:v>Setup Strike</x:v>
      </x:c>
      <x:c r="B19" s="820" t="str">
        <x:v>普通</x:v>
      </x:c>
      <x:c r="C19" s="820" t="str">
        <x:v>1</x:v>
      </x:c>
      <x:c r="D19" s="820" t="str">
        <x:v>千鸟刀·蓄势</x:v>
      </x:c>
      <x:c r="E19" s="820" t="str">
        <x:v>草薙剑·千鸟刀</x:v>
      </x:c>
      <x:c r="F19" s="820" t="str">
        <x:v>T1 基础</x:v>
      </x:c>
      <x:c r="G19" s="820" t="str">
        <x:v>白衣/Hebi与兄弟之战实际使用的雷遁附剑体系。</x:v>
      </x:c>
      <x:c r="H19" s="820" t="str">
        <x:v>核心目录</x:v>
      </x:c>
      <x:c r="I19" s="820" t="str">
        <x:v>通过</x:v>
      </x:c>
      <x:c r="J19" s="1741" t="str"/>
    </x:row>
    <x:row r="20" ht="40" customHeight="1">
      <x:c r="A20" s="1740" t="str">
        <x:v>Shrug It Off</x:v>
      </x:c>
      <x:c r="B20" s="820" t="str">
        <x:v>普通</x:v>
      </x:c>
      <x:c r="C20" s="820" t="str">
        <x:v>1</x:v>
      </x:c>
      <x:c r="D20" s="820" t="str">
        <x:v>大蛇丸流·蜕皮</x:v>
      </x:c>
      <x:c r="E20" s="820" t="str">
        <x:v>大蛇丸流替身术</x:v>
      </x:c>
      <x:c r="F20" s="820" t="str">
        <x:v>T1 基础</x:v>
      </x:c>
      <x:c r="G20" s="820" t="str">
        <x:v>兄弟之战对鼬实际使用的蜕皮替身术。</x:v>
      </x:c>
      <x:c r="H20" s="820" t="str">
        <x:v>核心目录</x:v>
      </x:c>
      <x:c r="I20" s="820" t="str">
        <x:v>通过</x:v>
      </x:c>
      <x:c r="J20" s="1741" t="str"/>
    </x:row>
    <x:row r="21" ht="40" customHeight="1">
      <x:c r="A21" s="1740" t="str">
        <x:v>Sword Boomerang</x:v>
      </x:c>
      <x:c r="B21" s="820" t="str">
        <x:v>普通</x:v>
      </x:c>
      <x:c r="C21" s="820" t="str">
        <x:v>1</x:v>
      </x:c>
      <x:c r="D21" s="820" t="str">
        <x:v>千鸟千本</x:v>
      </x:c>
      <x:c r="E21" s="820" t="str">
        <x:v>千鸟千本</x:v>
      </x:c>
      <x:c r="F21" s="820" t="str">
        <x:v>T2 进阶</x:v>
      </x:c>
      <x:c r="G21" s="820" t="str">
        <x:v>白衣/Hebi对迪达拉战实际使用，首次出现于漫画第357话。</x:v>
      </x:c>
      <x:c r="H21" s="820" t="str">
        <x:v>重点补回</x:v>
      </x:c>
      <x:c r="I21" s="820" t="str">
        <x:v>通过</x:v>
      </x:c>
      <x:c r="J21" s="1741" t="str"/>
    </x:row>
    <x:row r="22" ht="40" customHeight="1">
      <x:c r="A22" s="1740" t="str">
        <x:v>Taunt</x:v>
      </x:c>
      <x:c r="B22" s="820" t="str">
        <x:v>普通</x:v>
      </x:c>
      <x:c r="C22" s="820" t="str">
        <x:v>1</x:v>
      </x:c>
      <x:c r="D22" s="820" t="str">
        <x:v>幻术·写轮眼</x:v>
      </x:c>
      <x:c r="E22" s="820" t="str">
        <x:v>幻术·写轮眼</x:v>
      </x:c>
      <x:c r="F22" s="820" t="str">
        <x:v>T2 进阶</x:v>
      </x:c>
      <x:c r="G22" s="820" t="str">
        <x:v>白衣/Hebi阶段实际使用的三勾玉写轮眼幻术。</x:v>
      </x:c>
      <x:c r="H22" s="820" t="str">
        <x:v>核心目录</x:v>
      </x:c>
      <x:c r="I22" s="820" t="str">
        <x:v>通过</x:v>
      </x:c>
      <x:c r="J22" s="1741" t="str"/>
    </x:row>
    <x:row r="23" ht="40" customHeight="1">
      <x:c r="A23" s="1740" t="str">
        <x:v>Thunderclap</x:v>
      </x:c>
      <x:c r="B23" s="820" t="str">
        <x:v>普通</x:v>
      </x:c>
      <x:c r="C23" s="820" t="str">
        <x:v>1</x:v>
      </x:c>
      <x:c r="D23" s="820" t="str">
        <x:v>千鸟流·雷震</x:v>
      </x:c>
      <x:c r="E23" s="820" t="str">
        <x:v>千鸟流</x:v>
      </x:c>
      <x:c r="F23" s="820" t="str">
        <x:v>T2 进阶</x:v>
      </x:c>
      <x:c r="G23" s="820" t="str">
        <x:v>白衣/Hebi代表性周身放电招式，兼具攻击与防御。</x:v>
      </x:c>
      <x:c r="H23" s="820" t="str">
        <x:v>核心目录</x:v>
      </x:c>
      <x:c r="I23" s="820" t="str">
        <x:v>通过</x:v>
      </x:c>
      <x:c r="J23" s="1741" t="str"/>
    </x:row>
    <x:row r="24" ht="40" customHeight="1">
      <x:c r="A24" s="1740" t="str">
        <x:v>Tremble</x:v>
      </x:c>
      <x:c r="B24" s="820" t="str">
        <x:v>普通</x:v>
      </x:c>
      <x:c r="C24" s="820" t="str">
        <x:v>1</x:v>
      </x:c>
      <x:c r="D24" s="820" t="str">
        <x:v>魔幻·枷杭之术</x:v>
      </x:c>
      <x:c r="E24" s="820" t="str">
        <x:v>魔幻·枷杭之术</x:v>
      </x:c>
      <x:c r="F24" s="820" t="str">
        <x:v>T2 进阶</x:v>
      </x:c>
      <x:c r="G24" s="820" t="str">
        <x:v>白衣/Hebi阶段对大蛇丸实际使用。</x:v>
      </x:c>
      <x:c r="H24" s="820" t="str">
        <x:v>核心目录</x:v>
      </x:c>
      <x:c r="I24" s="820" t="str">
        <x:v>通过</x:v>
      </x:c>
      <x:c r="J24" s="1741" t="str"/>
    </x:row>
    <x:row r="25" ht="40" customHeight="1">
      <x:c r="A25" s="1740" t="str">
        <x:v>True Grit</x:v>
      </x:c>
      <x:c r="B25" s="820" t="str">
        <x:v>普通</x:v>
      </x:c>
      <x:c r="C25" s="820" t="str">
        <x:v>1</x:v>
      </x:c>
      <x:c r="D25" s="820" t="str">
        <x:v>咒印·坚忍</x:v>
      </x:c>
      <x:c r="E25" s="820" t="str">
        <x:v>天之咒印</x:v>
      </x:c>
      <x:c r="F25" s="820" t="str">
        <x:v>T1 基础</x:v>
      </x:c>
      <x:c r="G25" s="820" t="str">
        <x:v>白衣/Hebi对大蛇丸、迪达拉及鼬的战斗中实际激活。</x:v>
      </x:c>
      <x:c r="H25" s="820" t="str">
        <x:v>核心目录</x:v>
      </x:c>
      <x:c r="I25" s="820" t="str">
        <x:v>通过</x:v>
      </x:c>
      <x:c r="J25" s="1741" t="str"/>
    </x:row>
    <x:row r="26" ht="40" customHeight="1">
      <x:c r="A26" s="1740" t="str">
        <x:v>Twin Strike</x:v>
      </x:c>
      <x:c r="B26" s="820" t="str">
        <x:v>普通</x:v>
      </x:c>
      <x:c r="C26" s="820" t="str">
        <x:v>1</x:v>
      </x:c>
      <x:c r="D26" s="820" t="str">
        <x:v>草薙剑·双闪</x:v>
      </x:c>
      <x:c r="E26" s="820" t="str">
        <x:v>居合</x:v>
      </x:c>
      <x:c r="F26" s="820" t="str">
        <x:v>T1 基础</x:v>
      </x:c>
      <x:c r="G26" s="820" t="str">
        <x:v>白衣/Hebi与兄弟之战的基础草薙剑近战体系。</x:v>
      </x:c>
      <x:c r="H26" s="820" t="str">
        <x:v>动作根目录</x:v>
      </x:c>
      <x:c r="I26" s="820" t="str">
        <x:v>通过</x:v>
      </x:c>
      <x:c r="J26" s="1741" t="str"/>
    </x:row>
    <x:row r="27" ht="40" customHeight="1">
      <x:c r="A27" s="1740" t="str">
        <x:v>Ashen Strike</x:v>
      </x:c>
      <x:c r="B27" s="820" t="str">
        <x:v>罕见</x:v>
      </x:c>
      <x:c r="C27" s="820" t="str">
        <x:v>1</x:v>
      </x:c>
      <x:c r="D27" s="820" t="str">
        <x:v>火遁·落火·灰烬追击</x:v>
      </x:c>
      <x:c r="E27" s="820" t="str">
        <x:v>火遁·豪火球之术·落火</x:v>
      </x:c>
      <x:c r="F27" s="820" t="str">
        <x:v>T2 进阶</x:v>
      </x:c>
      <x:c r="G27" s="820" t="str">
        <x:v>《究极风暴》白衣/Hebi佐助的剑术连段收尾招式。</x:v>
      </x:c>
      <x:c r="H27" s="820" t="str">
        <x:v>补回目录</x:v>
      </x:c>
      <x:c r="I27" s="820" t="str">
        <x:v>通过</x:v>
      </x:c>
      <x:c r="J27" s="1741" t="str"/>
    </x:row>
    <x:row r="28" ht="40" customHeight="1">
      <x:c r="A28" s="1740" t="str">
        <x:v>Battle Trance</x:v>
      </x:c>
      <x:c r="B28" s="820" t="str">
        <x:v>罕见</x:v>
      </x:c>
      <x:c r="C28" s="820" t="str">
        <x:v>0</x:v>
      </x:c>
      <x:c r="D28" s="820" t="str">
        <x:v>雷光剑化·三器展开</x:v>
      </x:c>
      <x:c r="E28" s="820" t="str">
        <x:v>通灵·雷光剑化</x:v>
      </x:c>
      <x:c r="F28" s="820" t="str">
        <x:v>T2 进阶</x:v>
      </x:c>
      <x:c r="G28" s="820" t="str">
        <x:v>兄弟之战中通过手腕封印实际召唤风魔手里剑和忍具。</x:v>
      </x:c>
      <x:c r="H28" s="820" t="str">
        <x:v>核心目录</x:v>
      </x:c>
      <x:c r="I28" s="820" t="str">
        <x:v>通过</x:v>
      </x:c>
      <x:c r="J28" s="1741" t="str"/>
    </x:row>
    <x:row r="29" ht="40" customHeight="1">
      <x:c r="A29" s="1740" t="str">
        <x:v>Bloodletting</x:v>
      </x:c>
      <x:c r="B29" s="820" t="str">
        <x:v>罕见</x:v>
      </x:c>
      <x:c r="C29" s="820" t="str">
        <x:v>0</x:v>
      </x:c>
      <x:c r="D29" s="820" t="str">
        <x:v>咒印·血解</x:v>
      </x:c>
      <x:c r="E29" s="820" t="str">
        <x:v>天之咒印</x:v>
      </x:c>
      <x:c r="F29" s="820" t="str">
        <x:v>T2 进阶</x:v>
      </x:c>
      <x:c r="G29" s="820" t="str">
        <x:v>白衣/Hebi对大蛇丸、迪达拉及鼬的战斗中实际激活。</x:v>
      </x:c>
      <x:c r="H29" s="820" t="str">
        <x:v>核心目录</x:v>
      </x:c>
      <x:c r="I29" s="820" t="str">
        <x:v>通过</x:v>
      </x:c>
      <x:c r="J29" s="1741" t="str"/>
    </x:row>
    <x:row r="30" ht="40" customHeight="1">
      <x:c r="A30" s="1740" t="str">
        <x:v>Bludgeon</x:v>
      </x:c>
      <x:c r="B30" s="820" t="str">
        <x:v>罕见</x:v>
      </x:c>
      <x:c r="C30" s="820" t="str">
        <x:v>3</x:v>
      </x:c>
      <x:c r="D30" s="820" t="str">
        <x:v>千鸟真枪</x:v>
      </x:c>
      <x:c r="E30" s="820" t="str">
        <x:v>千鸟真枪</x:v>
      </x:c>
      <x:c r="F30" s="820" t="str">
        <x:v>T4 决战</x:v>
      </x:c>
      <x:c r="G30" s="820" t="str">
        <x:v>《究极风暴》白衣/Hebi佐助的中距离千鸟锐枪爆发奥义。</x:v>
      </x:c>
      <x:c r="H30" s="820" t="str">
        <x:v>核心目录</x:v>
      </x:c>
      <x:c r="I30" s="820" t="str">
        <x:v>通过</x:v>
      </x:c>
      <x:c r="J30" s="1741" t="str"/>
    </x:row>
    <x:row r="31" ht="40" customHeight="1">
      <x:c r="A31" s="1740" t="str">
        <x:v>Bully</x:v>
      </x:c>
      <x:c r="B31" s="820" t="str">
        <x:v>罕见</x:v>
      </x:c>
      <x:c r="C31" s="820" t="str">
        <x:v>0</x:v>
      </x:c>
      <x:c r="D31" s="820" t="str">
        <x:v>瞬·追隙</x:v>
      </x:c>
      <x:c r="E31" s="820" t="str">
        <x:v>瞬</x:v>
      </x:c>
      <x:c r="F31" s="820" t="str">
        <x:v>T2 进阶</x:v>
      </x:c>
      <x:c r="G31" s="820" t="str">
        <x:v>《究极风暴》白衣/Hebi佐助的高速雷遁突进动作。</x:v>
      </x:c>
      <x:c r="H31" s="820" t="str">
        <x:v>核心目录</x:v>
      </x:c>
      <x:c r="I31" s="820" t="str">
        <x:v>通过</x:v>
      </x:c>
      <x:c r="J31" s="1741" t="str"/>
    </x:row>
    <x:row r="32" ht="40" customHeight="1">
      <x:c r="A32" s="1740" t="str">
        <x:v>Burning Pact</x:v>
      </x:c>
      <x:c r="B32" s="820" t="str">
        <x:v>罕见</x:v>
      </x:c>
      <x:c r="C32" s="820" t="str">
        <x:v>1</x:v>
      </x:c>
      <x:c r="D32" s="820" t="str">
        <x:v>咒印·献契</x:v>
      </x:c>
      <x:c r="E32" s="820" t="str">
        <x:v>天之咒印</x:v>
      </x:c>
      <x:c r="F32" s="820" t="str">
        <x:v>T2 进阶</x:v>
      </x:c>
      <x:c r="G32" s="820" t="str">
        <x:v>白衣/Hebi对大蛇丸、迪达拉及鼬的战斗中实际激活。</x:v>
      </x:c>
      <x:c r="H32" s="820" t="str">
        <x:v>核心目录</x:v>
      </x:c>
      <x:c r="I32" s="820" t="str">
        <x:v>通过</x:v>
      </x:c>
      <x:c r="J32" s="1741" t="str"/>
    </x:row>
    <x:row r="33" ht="40" customHeight="1">
      <x:c r="A33" s="1740" t="str">
        <x:v>Colossus</x:v>
      </x:c>
      <x:c r="B33" s="820" t="str">
        <x:v>罕见</x:v>
      </x:c>
      <x:c r="C33" s="820" t="str">
        <x:v>1</x:v>
      </x:c>
      <x:c r="D33" s="820" t="str">
        <x:v>写轮眼·见切</x:v>
      </x:c>
      <x:c r="E33" s="820" t="str">
        <x:v>写轮眼</x:v>
      </x:c>
      <x:c r="F33" s="820" t="str">
        <x:v>T2 进阶</x:v>
      </x:c>
      <x:c r="G33" s="820" t="str">
        <x:v>白衣/Hebi与兄弟之战中实际开启，用于观察、预判和幻术。</x:v>
      </x:c>
      <x:c r="H33" s="820" t="str">
        <x:v>核心目录</x:v>
      </x:c>
      <x:c r="I33" s="820" t="str">
        <x:v>通过</x:v>
      </x:c>
      <x:c r="J33" s="1741" t="str"/>
    </x:row>
    <x:row r="34" ht="40" customHeight="1">
      <x:c r="A34" s="1740" t="str">
        <x:v>Cruelty</x:v>
      </x:c>
      <x:c r="B34" s="820" t="str">
        <x:v>罕见</x:v>
      </x:c>
      <x:c r="C34" s="820" t="str">
        <x:v>1</x:v>
      </x:c>
      <x:c r="D34" s="820" t="str">
        <x:v>写轮眼·死角解析</x:v>
      </x:c>
      <x:c r="E34" s="820" t="str">
        <x:v>写轮眼</x:v>
      </x:c>
      <x:c r="F34" s="820" t="str">
        <x:v>T3 高阶</x:v>
      </x:c>
      <x:c r="G34" s="820" t="str">
        <x:v>白衣/Hebi与兄弟之战中实际开启，用于观察、预判和幻术。</x:v>
      </x:c>
      <x:c r="H34" s="820" t="str">
        <x:v>核心目录</x:v>
      </x:c>
      <x:c r="I34" s="820" t="str">
        <x:v>通过</x:v>
      </x:c>
      <x:c r="J34" s="1741" t="str"/>
    </x:row>
    <x:row r="35" ht="40" customHeight="1">
      <x:c r="A35" s="1740" t="str">
        <x:v>Dismantle</x:v>
      </x:c>
      <x:c r="B35" s="820" t="str">
        <x:v>罕见</x:v>
      </x:c>
      <x:c r="C35" s="820" t="str">
        <x:v>1</x:v>
      </x:c>
      <x:c r="D35" s="820" t="str">
        <x:v>草薙剑·破绽二连斩</x:v>
      </x:c>
      <x:c r="E35" s="820" t="str">
        <x:v>居合</x:v>
      </x:c>
      <x:c r="F35" s="820" t="str">
        <x:v>T2 进阶</x:v>
      </x:c>
      <x:c r="G35" s="820" t="str">
        <x:v>白衣/Hebi与兄弟之战的基础草薙剑近战体系。</x:v>
      </x:c>
      <x:c r="H35" s="820" t="str">
        <x:v>动作根目录</x:v>
      </x:c>
      <x:c r="I35" s="820" t="str">
        <x:v>通过</x:v>
      </x:c>
      <x:c r="J35" s="1741" t="str"/>
    </x:row>
    <x:row r="36" ht="40" customHeight="1">
      <x:c r="A36" s="1740" t="str">
        <x:v>Drum of Battle</x:v>
      </x:c>
      <x:c r="B36" s="820" t="str">
        <x:v>罕见</x:v>
      </x:c>
      <x:c r="C36" s="820" t="str">
        <x:v>1</x:v>
      </x:c>
      <x:c r="D36" s="820" t="str">
        <x:v>雷光剑化·忍具阵</x:v>
      </x:c>
      <x:c r="E36" s="820" t="str">
        <x:v>通灵·雷光剑化</x:v>
      </x:c>
      <x:c r="F36" s="820" t="str">
        <x:v>T2 进阶</x:v>
      </x:c>
      <x:c r="G36" s="820" t="str">
        <x:v>兄弟之战中通过手腕封印实际召唤风魔手里剑和忍具。</x:v>
      </x:c>
      <x:c r="H36" s="820" t="str">
        <x:v>核心目录</x:v>
      </x:c>
      <x:c r="I36" s="820" t="str">
        <x:v>通过</x:v>
      </x:c>
      <x:c r="J36" s="1741" t="str"/>
    </x:row>
    <x:row r="37" ht="40" customHeight="1">
      <x:c r="A37" s="1740" t="str">
        <x:v>Evil Eye</x:v>
      </x:c>
      <x:c r="B37" s="820" t="str">
        <x:v>罕见</x:v>
      </x:c>
      <x:c r="C37" s="820" t="str">
        <x:v>1</x:v>
      </x:c>
      <x:c r="D37" s="820" t="str">
        <x:v>大蛇丸流·二重蜕皮</x:v>
      </x:c>
      <x:c r="E37" s="820" t="str">
        <x:v>大蛇丸流替身术</x:v>
      </x:c>
      <x:c r="F37" s="820" t="str">
        <x:v>T2 进阶</x:v>
      </x:c>
      <x:c r="G37" s="820" t="str">
        <x:v>兄弟之战对鼬实际使用的蜕皮替身术。</x:v>
      </x:c>
      <x:c r="H37" s="820" t="str">
        <x:v>核心目录</x:v>
      </x:c>
      <x:c r="I37" s="820" t="str">
        <x:v>通过</x:v>
      </x:c>
      <x:c r="J37" s="1741" t="str"/>
    </x:row>
    <x:row r="38" ht="40" customHeight="1">
      <x:c r="A38" s="1740" t="str">
        <x:v>Expect a Fight</x:v>
      </x:c>
      <x:c r="B38" s="820" t="str">
        <x:v>罕见</x:v>
      </x:c>
      <x:c r="C38" s="820" t="str">
        <x:v>2→1</x:v>
      </x:c>
      <x:c r="D38" s="820" t="str">
        <x:v>千鸟刀·连击准备</x:v>
      </x:c>
      <x:c r="E38" s="820" t="str">
        <x:v>草薙剑·千鸟刀</x:v>
      </x:c>
      <x:c r="F38" s="820" t="str">
        <x:v>T2 进阶</x:v>
      </x:c>
      <x:c r="G38" s="820" t="str">
        <x:v>白衣/Hebi与兄弟之战实际使用的雷遁附剑体系。</x:v>
      </x:c>
      <x:c r="H38" s="820" t="str">
        <x:v>核心目录</x:v>
      </x:c>
      <x:c r="I38" s="820" t="str">
        <x:v>通过</x:v>
      </x:c>
      <x:c r="J38" s="1741" t="str"/>
    </x:row>
    <x:row r="39" ht="40" customHeight="1">
      <x:c r="A39" s="1740" t="str">
        <x:v>Feel No Pain</x:v>
      </x:c>
      <x:c r="B39" s="820" t="str">
        <x:v>罕见</x:v>
      </x:c>
      <x:c r="C39" s="820" t="str">
        <x:v>1</x:v>
      </x:c>
      <x:c r="D39" s="820" t="str">
        <x:v>咒印·痛觉遮断</x:v>
      </x:c>
      <x:c r="E39" s="820" t="str">
        <x:v>天之咒印</x:v>
      </x:c>
      <x:c r="F39" s="820" t="str">
        <x:v>T2 进阶</x:v>
      </x:c>
      <x:c r="G39" s="820" t="str">
        <x:v>白衣/Hebi对大蛇丸、迪达拉及鼬的战斗中实际激活。</x:v>
      </x:c>
      <x:c r="H39" s="820" t="str">
        <x:v>核心目录</x:v>
      </x:c>
      <x:c r="I39" s="820" t="str">
        <x:v>通过</x:v>
      </x:c>
      <x:c r="J39" s="1741" t="str"/>
    </x:row>
    <x:row r="40" ht="40" customHeight="1">
      <x:c r="A40" s="1740" t="str">
        <x:v>Fight Me!</x:v>
      </x:c>
      <x:c r="B40" s="820" t="str">
        <x:v>罕见</x:v>
      </x:c>
      <x:c r="C40" s="820" t="str">
        <x:v>2</x:v>
      </x:c>
      <x:c r="D40" s="820" t="str">
        <x:v>雷光狮子连弹·邀战</x:v>
      </x:c>
      <x:c r="E40" s="820" t="str">
        <x:v>雷光狮子连弹</x:v>
      </x:c>
      <x:c r="F40" s="820" t="str">
        <x:v>T2 进阶</x:v>
      </x:c>
      <x:c r="G40" s="820" t="str">
        <x:v>《究极风暴》白衣/Hebi佐助的雷遁体术连段。</x:v>
      </x:c>
      <x:c r="H40" s="820" t="str">
        <x:v>核心目录</x:v>
      </x:c>
      <x:c r="I40" s="820" t="str">
        <x:v>通过</x:v>
      </x:c>
      <x:c r="J40" s="1741" t="str"/>
    </x:row>
    <x:row r="41" ht="40" customHeight="1">
      <x:c r="A41" s="1740" t="str">
        <x:v>Flame Barrier</x:v>
      </x:c>
      <x:c r="B41" s="820" t="str">
        <x:v>罕见</x:v>
      </x:c>
      <x:c r="C41" s="820" t="str">
        <x:v>2</x:v>
      </x:c>
      <x:c r="D41" s="820" t="str">
        <x:v>火遁·豪火球·返炎</x:v>
      </x:c>
      <x:c r="E41" s="820" t="str">
        <x:v>火遁·豪火球之术</x:v>
      </x:c>
      <x:c r="F41" s="820" t="str">
        <x:v>T2 进阶</x:v>
      </x:c>
      <x:c r="G41" s="820" t="str">
        <x:v>白衣/Hebi及咒印二《究极风暴》动作；兄弟之战继续使用火遁。</x:v>
      </x:c>
      <x:c r="H41" s="820" t="str">
        <x:v>核心目录</x:v>
      </x:c>
      <x:c r="I41" s="820" t="str">
        <x:v>通过</x:v>
      </x:c>
      <x:c r="J41" s="1741" t="str"/>
    </x:row>
    <x:row r="42" ht="40" customHeight="1">
      <x:c r="A42" s="1740" t="str">
        <x:v>Forgotten Ritual</x:v>
      </x:c>
      <x:c r="B42" s="820" t="str">
        <x:v>罕见</x:v>
      </x:c>
      <x:c r="C42" s="820" t="str">
        <x:v>1</x:v>
      </x:c>
      <x:c r="D42" s="820" t="str">
        <x:v>咒印·解封仪式</x:v>
      </x:c>
      <x:c r="E42" s="820" t="str">
        <x:v>天之咒印</x:v>
      </x:c>
      <x:c r="F42" s="820" t="str">
        <x:v>T3 高阶</x:v>
      </x:c>
      <x:c r="G42" s="820" t="str">
        <x:v>白衣/Hebi对大蛇丸、迪达拉及鼬的战斗中实际激活。</x:v>
      </x:c>
      <x:c r="H42" s="820" t="str">
        <x:v>核心目录</x:v>
      </x:c>
      <x:c r="I42" s="820" t="str">
        <x:v>通过</x:v>
      </x:c>
      <x:c r="J42" s="1741" t="str"/>
    </x:row>
    <x:row r="43" ht="40" customHeight="1">
      <x:c r="A43" s="1740" t="str">
        <x:v>Hemokinesis</x:v>
      </x:c>
      <x:c r="B43" s="820" t="str">
        <x:v>罕见</x:v>
      </x:c>
      <x:c r="C43" s="820" t="str">
        <x:v>1</x:v>
      </x:c>
      <x:c r="D43" s="820" t="str">
        <x:v>千鸟·血祭</x:v>
      </x:c>
      <x:c r="E43" s="820" t="str">
        <x:v>千鸟</x:v>
      </x:c>
      <x:c r="F43" s="820" t="str">
        <x:v>T3 高阶</x:v>
      </x:c>
      <x:c r="G43" s="820" t="str">
        <x:v>白衣/Hebi、兄弟之战与咒印二均有实际使用或明确动作。</x:v>
      </x:c>
      <x:c r="H43" s="820" t="str">
        <x:v>核心目录</x:v>
      </x:c>
      <x:c r="I43" s="820" t="str">
        <x:v>通过</x:v>
      </x:c>
      <x:c r="J43" s="1741" t="str"/>
    </x:row>
    <x:row r="44" ht="40" customHeight="1">
      <x:c r="A44" s="1740" t="str">
        <x:v>Howl from Beyond</x:v>
      </x:c>
      <x:c r="B44" s="820" t="str">
        <x:v>罕见</x:v>
      </x:c>
      <x:c r="C44" s="820" t="str">
        <x:v>3</x:v>
      </x:c>
      <x:c r="D44" s="820" t="str">
        <x:v>潜影蛇手·蛇群再袭</x:v>
      </x:c>
      <x:c r="E44" s="820" t="str">
        <x:v>潜影蛇手</x:v>
      </x:c>
      <x:c r="F44" s="820" t="str">
        <x:v>T2 进阶</x:v>
      </x:c>
      <x:c r="G44" s="820" t="str">
        <x:v>白衣/Hebi吸收大蛇丸后的实际蛇术。</x:v>
      </x:c>
      <x:c r="H44" s="820" t="str">
        <x:v>核心目录</x:v>
      </x:c>
      <x:c r="I44" s="820" t="str">
        <x:v>通过</x:v>
      </x:c>
      <x:c r="J44" s="1741" t="str"/>
    </x:row>
    <x:row r="45" ht="40" customHeight="1">
      <x:c r="A45" s="1740" t="str">
        <x:v>Infernal Blade</x:v>
      </x:c>
      <x:c r="B45" s="820" t="str">
        <x:v>罕见</x:v>
      </x:c>
      <x:c r="C45" s="820" t="str">
        <x:v>1→0</x:v>
      </x:c>
      <x:c r="D45" s="820" t="str">
        <x:v>通灵·雷光剑化·瞬装</x:v>
      </x:c>
      <x:c r="E45" s="820" t="str">
        <x:v>通灵·雷光剑化</x:v>
      </x:c>
      <x:c r="F45" s="820" t="str">
        <x:v>T2 进阶</x:v>
      </x:c>
      <x:c r="G45" s="820" t="str">
        <x:v>兄弟之战中通过手腕封印实际召唤风魔手里剑和忍具。</x:v>
      </x:c>
      <x:c r="H45" s="820" t="str">
        <x:v>核心目录</x:v>
      </x:c>
      <x:c r="I45" s="820" t="str">
        <x:v>通过</x:v>
      </x:c>
      <x:c r="J45" s="1741" t="str"/>
    </x:row>
    <x:row r="46" ht="40" customHeight="1">
      <x:c r="A46" s="1740" t="str">
        <x:v>Inferno</x:v>
      </x:c>
      <x:c r="B46" s="820" t="str">
        <x:v>罕见</x:v>
      </x:c>
      <x:c r="C46" s="820" t="str">
        <x:v>1</x:v>
      </x:c>
      <x:c r="D46" s="820" t="str">
        <x:v>火遁·豪龙火之术</x:v>
      </x:c>
      <x:c r="E46" s="820" t="str">
        <x:v>火遁·豪龙火之术</x:v>
      </x:c>
      <x:c r="F46" s="820" t="str">
        <x:v>T4 决战</x:v>
      </x:c>
      <x:c r="G46" s="820" t="str">
        <x:v>兄弟之战对鼬实际使用，并制造麒麟所需雷云。</x:v>
      </x:c>
      <x:c r="H46" s="820" t="str">
        <x:v>核心目录</x:v>
      </x:c>
      <x:c r="I46" s="820" t="str">
        <x:v>通过</x:v>
      </x:c>
      <x:c r="J46" s="1741" t="str"/>
    </x:row>
    <x:row r="47" ht="40" customHeight="1">
      <x:c r="A47" s="1740" t="str">
        <x:v>Inflame</x:v>
      </x:c>
      <x:c r="B47" s="820" t="str">
        <x:v>罕见</x:v>
      </x:c>
      <x:c r="C47" s="820" t="str">
        <x:v>1</x:v>
      </x:c>
      <x:c r="D47" s="820" t="str">
        <x:v>火遁·火炎增幅</x:v>
      </x:c>
      <x:c r="E47" s="820" t="str">
        <x:v>火遁·豪火球之术</x:v>
      </x:c>
      <x:c r="F47" s="820" t="str">
        <x:v>T2 进阶</x:v>
      </x:c>
      <x:c r="G47" s="820" t="str">
        <x:v>白衣/Hebi及咒印二《究极风暴》动作；兄弟之战继续使用火遁。</x:v>
      </x:c>
      <x:c r="H47" s="820" t="str">
        <x:v>核心目录</x:v>
      </x:c>
      <x:c r="I47" s="820" t="str">
        <x:v>通过</x:v>
      </x:c>
      <x:c r="J47" s="1741" t="str"/>
    </x:row>
    <x:row r="48" ht="40" customHeight="1">
      <x:c r="A48" s="1740" t="str">
        <x:v>Juggling</x:v>
      </x:c>
      <x:c r="B48" s="820" t="str">
        <x:v>罕见</x:v>
      </x:c>
      <x:c r="C48" s="820" t="str">
        <x:v>1</x:v>
      </x:c>
      <x:c r="D48" s="820" t="str">
        <x:v>操手里剑·三式连携</x:v>
      </x:c>
      <x:c r="E48" s="820" t="str">
        <x:v>操手里剑之术</x:v>
      </x:c>
      <x:c r="F48" s="820" t="str">
        <x:v>T2 进阶</x:v>
      </x:c>
      <x:c r="G48" s="820" t="str">
        <x:v>白衣/Hebi对迪达拉战实际使用，首次出现于漫画第358话。</x:v>
      </x:c>
      <x:c r="H48" s="820" t="str">
        <x:v>核心目录</x:v>
      </x:c>
      <x:c r="I48" s="820" t="str">
        <x:v>通过</x:v>
      </x:c>
      <x:c r="J48" s="1741" t="str"/>
    </x:row>
    <x:row r="49" ht="40" customHeight="1">
      <x:c r="A49" s="1740" t="str">
        <x:v>Pillage</x:v>
      </x:c>
      <x:c r="B49" s="820" t="str">
        <x:v>罕见</x:v>
      </x:c>
      <x:c r="C49" s="820" t="str">
        <x:v>1</x:v>
      </x:c>
      <x:c r="D49" s="820" t="str">
        <x:v>操手里剑·牵制换势</x:v>
      </x:c>
      <x:c r="E49" s="820" t="str">
        <x:v>操手里剑之术</x:v>
      </x:c>
      <x:c r="F49" s="820" t="str">
        <x:v>T2 进阶</x:v>
      </x:c>
      <x:c r="G49" s="820" t="str">
        <x:v>白衣/Hebi对迪达拉战实际使用，首次出现于漫画第358话。</x:v>
      </x:c>
      <x:c r="H49" s="820" t="str">
        <x:v>核心目录</x:v>
      </x:c>
      <x:c r="I49" s="820" t="str">
        <x:v>通过</x:v>
      </x:c>
      <x:c r="J49" s="1741" t="str"/>
    </x:row>
    <x:row r="50" ht="40" customHeight="1">
      <x:c r="A50" s="1740" t="str">
        <x:v>Rage</x:v>
      </x:c>
      <x:c r="B50" s="820" t="str">
        <x:v>罕见</x:v>
      </x:c>
      <x:c r="C50" s="820" t="str">
        <x:v>0</x:v>
      </x:c>
      <x:c r="D50" s="820" t="str">
        <x:v>千鸟流·雷衣</x:v>
      </x:c>
      <x:c r="E50" s="820" t="str">
        <x:v>千鸟流</x:v>
      </x:c>
      <x:c r="F50" s="820" t="str">
        <x:v>T2 进阶</x:v>
      </x:c>
      <x:c r="G50" s="820" t="str">
        <x:v>白衣/Hebi代表性周身放电招式，兼具攻击与防御。</x:v>
      </x:c>
      <x:c r="H50" s="820" t="str">
        <x:v>核心目录</x:v>
      </x:c>
      <x:c r="I50" s="820" t="str">
        <x:v>通过</x:v>
      </x:c>
      <x:c r="J50" s="1741" t="str"/>
    </x:row>
    <x:row r="51" ht="40" customHeight="1">
      <x:c r="A51" s="1740" t="str">
        <x:v>Rampage</x:v>
      </x:c>
      <x:c r="B51" s="820" t="str">
        <x:v>罕见</x:v>
      </x:c>
      <x:c r="C51" s="820" t="str">
        <x:v>1</x:v>
      </x:c>
      <x:c r="D51" s="820" t="str">
        <x:v>草薙剑·千鸟刀·连战</x:v>
      </x:c>
      <x:c r="E51" s="820" t="str">
        <x:v>草薙剑·千鸟刀</x:v>
      </x:c>
      <x:c r="F51" s="820" t="str">
        <x:v>T2 进阶</x:v>
      </x:c>
      <x:c r="G51" s="820" t="str">
        <x:v>白衣/Hebi与兄弟之战实际使用的雷遁附剑体系。</x:v>
      </x:c>
      <x:c r="H51" s="820" t="str">
        <x:v>核心目录</x:v>
      </x:c>
      <x:c r="I51" s="820" t="str">
        <x:v>通过</x:v>
      </x:c>
      <x:c r="J51" s="1741" t="str"/>
    </x:row>
    <x:row r="52" ht="40" customHeight="1">
      <x:c r="A52" s="1740" t="str">
        <x:v>Rupture</x:v>
      </x:c>
      <x:c r="B52" s="820" t="str">
        <x:v>罕见</x:v>
      </x:c>
      <x:c r="C52" s="820" t="str">
        <x:v>1</x:v>
      </x:c>
      <x:c r="D52" s="820" t="str">
        <x:v>咒印·伤势增幅</x:v>
      </x:c>
      <x:c r="E52" s="820" t="str">
        <x:v>天之咒印</x:v>
      </x:c>
      <x:c r="F52" s="820" t="str">
        <x:v>T3 高阶</x:v>
      </x:c>
      <x:c r="G52" s="820" t="str">
        <x:v>白衣/Hebi对大蛇丸、迪达拉及鼬的战斗中实际激活。</x:v>
      </x:c>
      <x:c r="H52" s="820" t="str">
        <x:v>核心目录</x:v>
      </x:c>
      <x:c r="I52" s="820" t="str">
        <x:v>通过</x:v>
      </x:c>
      <x:c r="J52" s="1741" t="str"/>
    </x:row>
    <x:row r="53" ht="40" customHeight="1">
      <x:c r="A53" s="1740" t="str">
        <x:v>Second Wind</x:v>
      </x:c>
      <x:c r="B53" s="820" t="str">
        <x:v>罕见</x:v>
      </x:c>
      <x:c r="C53" s="820" t="str">
        <x:v>1</x:v>
      </x:c>
      <x:c r="D53" s="820" t="str">
        <x:v>大蛇丸流替身术</x:v>
      </x:c>
      <x:c r="E53" s="820" t="str">
        <x:v>大蛇丸流替身术</x:v>
      </x:c>
      <x:c r="F53" s="820" t="str">
        <x:v>T3 高阶</x:v>
      </x:c>
      <x:c r="G53" s="820" t="str">
        <x:v>兄弟之战对鼬实际使用的蜕皮替身术。</x:v>
      </x:c>
      <x:c r="H53" s="820" t="str">
        <x:v>核心目录</x:v>
      </x:c>
      <x:c r="I53" s="820" t="str">
        <x:v>通过</x:v>
      </x:c>
      <x:c r="J53" s="1741" t="str"/>
    </x:row>
    <x:row r="54" ht="40" customHeight="1">
      <x:c r="A54" s="1740" t="str">
        <x:v>Spite</x:v>
      </x:c>
      <x:c r="B54" s="820" t="str">
        <x:v>罕见</x:v>
      </x:c>
      <x:c r="C54" s="820" t="str">
        <x:v>0</x:v>
      </x:c>
      <x:c r="D54" s="820" t="str">
        <x:v>咒印·怨恨追击</x:v>
      </x:c>
      <x:c r="E54" s="820" t="str">
        <x:v>天之咒印</x:v>
      </x:c>
      <x:c r="F54" s="820" t="str">
        <x:v>T2 进阶</x:v>
      </x:c>
      <x:c r="G54" s="820" t="str">
        <x:v>白衣/Hebi对大蛇丸、迪达拉及鼬的战斗中实际激活。</x:v>
      </x:c>
      <x:c r="H54" s="820" t="str">
        <x:v>核心目录</x:v>
      </x:c>
      <x:c r="I54" s="820" t="str">
        <x:v>通过</x:v>
      </x:c>
      <x:c r="J54" s="1741" t="str"/>
    </x:row>
    <x:row r="55" ht="40" customHeight="1">
      <x:c r="A55" s="1740" t="str">
        <x:v>Stampede</x:v>
      </x:c>
      <x:c r="B55" s="820" t="str">
        <x:v>罕见</x:v>
      </x:c>
      <x:c r="C55" s="820" t="str">
        <x:v>2→1</x:v>
      </x:c>
      <x:c r="D55" s="820" t="str">
        <x:v>咒印二·飞翔</x:v>
      </x:c>
      <x:c r="E55" s="820" t="str">
        <x:v>飞翔</x:v>
      </x:c>
      <x:c r="F55" s="820" t="str">
        <x:v>T3 高阶</x:v>
      </x:c>
      <x:c r="G55" s="820" t="str">
        <x:v>咒印二佐助以拳脚、翼击和雷遁附剑完成的飞行连段。</x:v>
      </x:c>
      <x:c r="H55" s="820" t="str">
        <x:v>重点补回</x:v>
      </x:c>
      <x:c r="I55" s="820" t="str">
        <x:v>通过</x:v>
      </x:c>
      <x:c r="J55" s="1741" t="str"/>
    </x:row>
    <x:row r="56" ht="40" customHeight="1">
      <x:c r="A56" s="1740" t="str">
        <x:v>Stomp</x:v>
      </x:c>
      <x:c r="B56" s="820" t="str">
        <x:v>罕见</x:v>
      </x:c>
      <x:c r="C56" s="820" t="str">
        <x:v>3</x:v>
      </x:c>
      <x:c r="D56" s="820" t="str">
        <x:v>千鸟·落雷·震地</x:v>
      </x:c>
      <x:c r="E56" s="820" t="str">
        <x:v>千鸟·落雷</x:v>
      </x:c>
      <x:c r="F56" s="820" t="str">
        <x:v>T2 进阶</x:v>
      </x:c>
      <x:c r="G56" s="820" t="str">
        <x:v>《究极风暴》白衣/Hebi佐助空中雷遁附剑下砸动作。</x:v>
      </x:c>
      <x:c r="H56" s="820" t="str">
        <x:v>核心目录</x:v>
      </x:c>
      <x:c r="I56" s="820" t="str">
        <x:v>通过</x:v>
      </x:c>
      <x:c r="J56" s="1741" t="str"/>
    </x:row>
    <x:row r="57" ht="40" customHeight="1">
      <x:c r="A57" s="1740" t="str">
        <x:v>Stone Armor</x:v>
      </x:c>
      <x:c r="B57" s="820" t="str">
        <x:v>罕见</x:v>
      </x:c>
      <x:c r="C57" s="820" t="str">
        <x:v>1</x:v>
      </x:c>
      <x:c r="D57" s="820" t="str">
        <x:v>蛇蜕·硬化</x:v>
      </x:c>
      <x:c r="E57" s="820" t="str">
        <x:v>大蛇丸流替身术</x:v>
      </x:c>
      <x:c r="F57" s="820" t="str">
        <x:v>T2 进阶</x:v>
      </x:c>
      <x:c r="G57" s="820" t="str">
        <x:v>兄弟之战对鼬实际使用的蜕皮替身术。</x:v>
      </x:c>
      <x:c r="H57" s="820" t="str">
        <x:v>核心目录</x:v>
      </x:c>
      <x:c r="I57" s="820" t="str">
        <x:v>通过</x:v>
      </x:c>
      <x:c r="J57" s="1741" t="str"/>
    </x:row>
    <x:row r="58" ht="40" customHeight="1">
      <x:c r="A58" s="1740" t="str">
        <x:v>Unrelenting</x:v>
      </x:c>
      <x:c r="B58" s="820" t="str">
        <x:v>罕见</x:v>
      </x:c>
      <x:c r="C58" s="820" t="str">
        <x:v>2</x:v>
      </x:c>
      <x:c r="D58" s="820" t="str">
        <x:v>千鸟锐枪</x:v>
      </x:c>
      <x:c r="E58" s="820" t="str">
        <x:v>千鸟锐枪</x:v>
      </x:c>
      <x:c r="F58" s="820" t="str">
        <x:v>T3 高阶</x:v>
      </x:c>
      <x:c r="G58" s="820" t="str">
        <x:v>白衣/Hebi开发并实际使用的中距离千鸟形态变化。</x:v>
      </x:c>
      <x:c r="H58" s="820" t="str">
        <x:v>核心目录</x:v>
      </x:c>
      <x:c r="I58" s="820" t="str">
        <x:v>通过</x:v>
      </x:c>
      <x:c r="J58" s="1741" t="str"/>
    </x:row>
    <x:row r="59" ht="40" customHeight="1">
      <x:c r="A59" s="1740" t="str">
        <x:v>Uppercut</x:v>
      </x:c>
      <x:c r="B59" s="820" t="str">
        <x:v>罕见</x:v>
      </x:c>
      <x:c r="C59" s="820" t="str">
        <x:v>2</x:v>
      </x:c>
      <x:c r="D59" s="820" t="str">
        <x:v>雷光狮子连弹·破势</x:v>
      </x:c>
      <x:c r="E59" s="820" t="str">
        <x:v>雷光狮子连弹</x:v>
      </x:c>
      <x:c r="F59" s="820" t="str">
        <x:v>T2 进阶</x:v>
      </x:c>
      <x:c r="G59" s="820" t="str">
        <x:v>《究极风暴》白衣/Hebi佐助的雷遁体术连段。</x:v>
      </x:c>
      <x:c r="H59" s="820" t="str">
        <x:v>核心目录</x:v>
      </x:c>
      <x:c r="I59" s="820" t="str">
        <x:v>通过</x:v>
      </x:c>
      <x:c r="J59" s="1741" t="str"/>
    </x:row>
    <x:row r="60" ht="40" customHeight="1">
      <x:c r="A60" s="1740" t="str">
        <x:v>Vicious</x:v>
      </x:c>
      <x:c r="B60" s="820" t="str">
        <x:v>罕见</x:v>
      </x:c>
      <x:c r="C60" s="820" t="str">
        <x:v>1</x:v>
      </x:c>
      <x:c r="D60" s="820" t="str">
        <x:v>写轮眼·弱点追读</x:v>
      </x:c>
      <x:c r="E60" s="820" t="str">
        <x:v>写轮眼</x:v>
      </x:c>
      <x:c r="F60" s="820" t="str">
        <x:v>T2 进阶</x:v>
      </x:c>
      <x:c r="G60" s="820" t="str">
        <x:v>白衣/Hebi与兄弟之战中实际开启，用于观察、预判和幻术。</x:v>
      </x:c>
      <x:c r="H60" s="820" t="str">
        <x:v>核心目录</x:v>
      </x:c>
      <x:c r="I60" s="820" t="str">
        <x:v>通过</x:v>
      </x:c>
      <x:c r="J60" s="1741" t="str"/>
    </x:row>
    <x:row r="61" ht="40" customHeight="1">
      <x:c r="A61" s="1740" t="str">
        <x:v>Whirlwind</x:v>
      </x:c>
      <x:c r="B61" s="820" t="str">
        <x:v>罕见</x:v>
      </x:c>
      <x:c r="C61" s="820" t="str">
        <x:v>X</x:v>
      </x:c>
      <x:c r="D61" s="820" t="str">
        <x:v>千鸟流·剑刃风暴</x:v>
      </x:c>
      <x:c r="E61" s="820" t="str">
        <x:v>千鸟流</x:v>
      </x:c>
      <x:c r="F61" s="820" t="str">
        <x:v>T3 高阶</x:v>
      </x:c>
      <x:c r="G61" s="820" t="str">
        <x:v>白衣/Hebi代表性周身放电招式，兼具攻击与防御。</x:v>
      </x:c>
      <x:c r="H61" s="820" t="str">
        <x:v>核心目录</x:v>
      </x:c>
      <x:c r="I61" s="820" t="str">
        <x:v>通过</x:v>
      </x:c>
      <x:c r="J61" s="1741" t="str"/>
    </x:row>
    <x:row r="62" ht="40" customHeight="1">
      <x:c r="A62" s="1740" t="str">
        <x:v>Aggression</x:v>
      </x:c>
      <x:c r="B62" s="820" t="str">
        <x:v>稀有</x:v>
      </x:c>
      <x:c r="C62" s="820" t="str">
        <x:v>1</x:v>
      </x:c>
      <x:c r="D62" s="820" t="str">
        <x:v>千鸟刀·战法重铸</x:v>
      </x:c>
      <x:c r="E62" s="820" t="str">
        <x:v>草薙剑·千鸟刀</x:v>
      </x:c>
      <x:c r="F62" s="820" t="str">
        <x:v>T3 高阶</x:v>
      </x:c>
      <x:c r="G62" s="820" t="str">
        <x:v>白衣/Hebi与兄弟之战实际使用的雷遁附剑体系。</x:v>
      </x:c>
      <x:c r="H62" s="820" t="str">
        <x:v>核心目录</x:v>
      </x:c>
      <x:c r="I62" s="820" t="str">
        <x:v>通过</x:v>
      </x:c>
      <x:c r="J62" s="1741" t="str"/>
    </x:row>
    <x:row r="63" ht="40" customHeight="1">
      <x:c r="A63" s="1740" t="str">
        <x:v>Barricade</x:v>
      </x:c>
      <x:c r="B63" s="820" t="str">
        <x:v>稀有</x:v>
      </x:c>
      <x:c r="C63" s="820" t="str">
        <x:v>3→2</x:v>
      </x:c>
      <x:c r="D63" s="820" t="str">
        <x:v>蛇睨咒缚·防御阵</x:v>
      </x:c>
      <x:c r="E63" s="820" t="str">
        <x:v>蛇睨咒缚</x:v>
      </x:c>
      <x:c r="F63" s="820" t="str">
        <x:v>T3 高阶</x:v>
      </x:c>
      <x:c r="G63" s="820" t="str">
        <x:v>白衣/Hebi阶段使用的蛇类束缚术。</x:v>
      </x:c>
      <x:c r="H63" s="820" t="str">
        <x:v>核心目录</x:v>
      </x:c>
      <x:c r="I63" s="820" t="str">
        <x:v>通过</x:v>
      </x:c>
      <x:c r="J63" s="1741" t="str"/>
    </x:row>
    <x:row r="64" ht="40" customHeight="1">
      <x:c r="A64" s="1740" t="str">
        <x:v>Brand</x:v>
      </x:c>
      <x:c r="B64" s="820" t="str">
        <x:v>稀有</x:v>
      </x:c>
      <x:c r="C64" s="820" t="str">
        <x:v>0</x:v>
      </x:c>
      <x:c r="D64" s="820" t="str">
        <x:v>天之咒印</x:v>
      </x:c>
      <x:c r="E64" s="820" t="str">
        <x:v>天之咒印</x:v>
      </x:c>
      <x:c r="F64" s="820" t="str">
        <x:v>T3 高阶</x:v>
      </x:c>
      <x:c r="G64" s="820" t="str">
        <x:v>白衣/Hebi对大蛇丸、迪达拉及鼬的战斗中实际激活。</x:v>
      </x:c>
      <x:c r="H64" s="820" t="str">
        <x:v>核心目录</x:v>
      </x:c>
      <x:c r="I64" s="820" t="str">
        <x:v>通过</x:v>
      </x:c>
      <x:c r="J64" s="1741" t="str"/>
    </x:row>
    <x:row r="65" ht="40" customHeight="1">
      <x:c r="A65" s="1740" t="str">
        <x:v>Cascade</x:v>
      </x:c>
      <x:c r="B65" s="820" t="str">
        <x:v>稀有</x:v>
      </x:c>
      <x:c r="C65" s="820" t="str">
        <x:v>X</x:v>
      </x:c>
      <x:c r="D65" s="820" t="str">
        <x:v>咒印·连锁释放</x:v>
      </x:c>
      <x:c r="E65" s="820" t="str">
        <x:v>天之咒印</x:v>
      </x:c>
      <x:c r="F65" s="820" t="str">
        <x:v>T3 高阶</x:v>
      </x:c>
      <x:c r="G65" s="820" t="str">
        <x:v>白衣/Hebi对大蛇丸、迪达拉及鼬的战斗中实际激活。</x:v>
      </x:c>
      <x:c r="H65" s="820" t="str">
        <x:v>核心目录</x:v>
      </x:c>
      <x:c r="I65" s="820" t="str">
        <x:v>通过</x:v>
      </x:c>
      <x:c r="J65" s="1741" t="str"/>
    </x:row>
    <x:row r="66" ht="40" customHeight="1">
      <x:c r="A66" s="1740" t="str">
        <x:v>Conflagration</x:v>
      </x:c>
      <x:c r="B66" s="820" t="str">
        <x:v>稀有</x:v>
      </x:c>
      <x:c r="C66" s="820" t="str">
        <x:v>1</x:v>
      </x:c>
      <x:c r="D66" s="820" t="str">
        <x:v>火遁·凤仙火之术</x:v>
      </x:c>
      <x:c r="E66" s="820" t="str">
        <x:v>火遁·凤仙火之术</x:v>
      </x:c>
      <x:c r="F66" s="820" t="str">
        <x:v>T3 高阶</x:v>
      </x:c>
      <x:c r="G66" s="820" t="str">
        <x:v>《究极风暴》确认“火遁·凤仙火之术”为佐助官方游戏招式；Storm 2招式表将其列为白衣/Hebi咒印二的特殊投射动作。</x:v>
      </x:c>
      <x:c r="H66" s="820" t="str">
        <x:v>本次Web补回（游戏）</x:v>
      </x:c>
      <x:c r="I66" s="820" t="str">
        <x:v>通过</x:v>
      </x:c>
      <x:c r="J66" s="1741" t="str">
        <x:v>Web补回</x:v>
      </x:c>
    </x:row>
    <x:row r="67" ht="40" customHeight="1">
      <x:c r="A67" s="1740" t="str">
        <x:v>Crimson Mantle</x:v>
      </x:c>
      <x:c r="B67" s="820" t="str">
        <x:v>稀有</x:v>
      </x:c>
      <x:c r="C67" s="820" t="str">
        <x:v>1</x:v>
      </x:c>
      <x:c r="D67" s="820" t="str">
        <x:v>咒印·查克拉外衣</x:v>
      </x:c>
      <x:c r="E67" s="820" t="str">
        <x:v>天之咒印</x:v>
      </x:c>
      <x:c r="F67" s="820" t="str">
        <x:v>T3 高阶</x:v>
      </x:c>
      <x:c r="G67" s="820" t="str">
        <x:v>白衣/Hebi对大蛇丸、迪达拉及鼬的战斗中实际激活。</x:v>
      </x:c>
      <x:c r="H67" s="820" t="str">
        <x:v>核心目录</x:v>
      </x:c>
      <x:c r="I67" s="820" t="str">
        <x:v>通过</x:v>
      </x:c>
      <x:c r="J67" s="1741" t="str"/>
    </x:row>
    <x:row r="68" ht="40" customHeight="1">
      <x:c r="A68" s="1740" t="str">
        <x:v>Dark Embrace</x:v>
      </x:c>
      <x:c r="B68" s="820" t="str">
        <x:v>稀有</x:v>
      </x:c>
      <x:c r="C68" s="820" t="str">
        <x:v>2→1</x:v>
      </x:c>
      <x:c r="D68" s="820" t="str">
        <x:v>咒印·吞噬回流</x:v>
      </x:c>
      <x:c r="E68" s="820" t="str">
        <x:v>天之咒印</x:v>
      </x:c>
      <x:c r="F68" s="820" t="str">
        <x:v>T3 高阶</x:v>
      </x:c>
      <x:c r="G68" s="820" t="str">
        <x:v>白衣/Hebi对大蛇丸、迪达拉及鼬的战斗中实际激活。</x:v>
      </x:c>
      <x:c r="H68" s="820" t="str">
        <x:v>核心目录</x:v>
      </x:c>
      <x:c r="I68" s="820" t="str">
        <x:v>通过</x:v>
      </x:c>
      <x:c r="J68" s="1741" t="str"/>
    </x:row>
    <x:row r="69" ht="40" customHeight="1">
      <x:c r="A69" s="1740" t="str">
        <x:v>Demon Form</x:v>
      </x:c>
      <x:c r="B69" s="820" t="str">
        <x:v>稀有</x:v>
      </x:c>
      <x:c r="C69" s="820" t="str">
        <x:v>3</x:v>
      </x:c>
      <x:c r="D69" s="820" t="str">
        <x:v>天之咒印·状态二</x:v>
      </x:c>
      <x:c r="E69" s="820" t="str">
        <x:v>天之咒印·状态二</x:v>
      </x:c>
      <x:c r="F69" s="820" t="str">
        <x:v>T5 变身/终极</x:v>
      </x:c>
      <x:c r="G69" s="820" t="str">
        <x:v>咒印二完整形态，包含双翼、飞行、翼防御和黑色千鸟表现。</x:v>
      </x:c>
      <x:c r="H69" s="820" t="str">
        <x:v>核心目录</x:v>
      </x:c>
      <x:c r="I69" s="820" t="str">
        <x:v>通过</x:v>
      </x:c>
      <x:c r="J69" s="1741" t="str"/>
    </x:row>
    <x:row r="70" ht="40" customHeight="1">
      <x:c r="A70" s="1740" t="str">
        <x:v>Dominate</x:v>
      </x:c>
      <x:c r="B70" s="820" t="str">
        <x:v>稀有</x:v>
      </x:c>
      <x:c r="C70" s="820" t="str">
        <x:v>1</x:v>
      </x:c>
      <x:c r="D70" s="820" t="str">
        <x:v>写轮眼·支配破绽</x:v>
      </x:c>
      <x:c r="E70" s="820" t="str">
        <x:v>写轮眼</x:v>
      </x:c>
      <x:c r="F70" s="820" t="str">
        <x:v>T4 决战</x:v>
      </x:c>
      <x:c r="G70" s="820" t="str">
        <x:v>白衣/Hebi与兄弟之战中实际开启，用于观察、预判和幻术。</x:v>
      </x:c>
      <x:c r="H70" s="820" t="str">
        <x:v>核心目录</x:v>
      </x:c>
      <x:c r="I70" s="820" t="str">
        <x:v>通过</x:v>
      </x:c>
      <x:c r="J70" s="1741" t="str"/>
    </x:row>
    <x:row r="71" ht="40" customHeight="1">
      <x:c r="A71" s="1740" t="str">
        <x:v>Feed</x:v>
      </x:c>
      <x:c r="B71" s="820" t="str">
        <x:v>稀有</x:v>
      </x:c>
      <x:c r="C71" s="820" t="str">
        <x:v>1</x:v>
      </x:c>
      <x:c r="D71" s="820" t="str">
        <x:v>万蛇·吞噬</x:v>
      </x:c>
      <x:c r="E71" s="820" t="str">
        <x:v>通灵之术（万蛇）</x:v>
      </x:c>
      <x:c r="F71" s="820" t="str">
        <x:v>T3 高阶</x:v>
      </x:c>
      <x:c r="G71" s="820" t="str">
        <x:v>白衣/Hebi对迪达拉战末尾实际召唤万蛇抵挡C0爆炸并逃生。</x:v>
      </x:c>
      <x:c r="H71" s="820" t="str">
        <x:v>补回目录</x:v>
      </x:c>
      <x:c r="I71" s="820" t="str">
        <x:v>通过</x:v>
      </x:c>
      <x:c r="J71" s="1741" t="str"/>
    </x:row>
    <x:row r="72" ht="40" customHeight="1">
      <x:c r="A72" s="1740" t="str">
        <x:v>Fiend Fire</x:v>
      </x:c>
      <x:c r="B72" s="820" t="str">
        <x:v>稀有</x:v>
      </x:c>
      <x:c r="C72" s="820" t="str">
        <x:v>2</x:v>
      </x:c>
      <x:c r="D72" s="820" t="str">
        <x:v>豪龙火·咒印连弹</x:v>
      </x:c>
      <x:c r="E72" s="820" t="str">
        <x:v>火遁·豪龙火之术</x:v>
      </x:c>
      <x:c r="F72" s="820" t="str">
        <x:v>T4 决战</x:v>
      </x:c>
      <x:c r="G72" s="820" t="str">
        <x:v>兄弟之战对鼬实际使用，并制造麒麟所需雷云。</x:v>
      </x:c>
      <x:c r="H72" s="820" t="str">
        <x:v>核心目录</x:v>
      </x:c>
      <x:c r="I72" s="820" t="str">
        <x:v>通过</x:v>
      </x:c>
      <x:c r="J72" s="1741" t="str"/>
    </x:row>
    <x:row r="73" ht="40" customHeight="1">
      <x:c r="A73" s="1740" t="str">
        <x:v>Hellraiser</x:v>
      </x:c>
      <x:c r="B73" s="820" t="str">
        <x:v>稀有</x:v>
      </x:c>
      <x:c r="C73" s="820" t="str">
        <x:v>2→1</x:v>
      </x:c>
      <x:c r="D73" s="820" t="str">
        <x:v>草薙剑·千鸟刀·乱舞</x:v>
      </x:c>
      <x:c r="E73" s="820" t="str">
        <x:v>草薙剑·千鸟刀</x:v>
      </x:c>
      <x:c r="F73" s="820" t="str">
        <x:v>T3 高阶</x:v>
      </x:c>
      <x:c r="G73" s="820" t="str">
        <x:v>白衣/Hebi与兄弟之战实际使用的雷遁附剑体系。</x:v>
      </x:c>
      <x:c r="H73" s="820" t="str">
        <x:v>核心目录</x:v>
      </x:c>
      <x:c r="I73" s="820" t="str">
        <x:v>通过</x:v>
      </x:c>
      <x:c r="J73" s="1741" t="str"/>
    </x:row>
    <x:row r="74" ht="40" customHeight="1">
      <x:c r="A74" s="1740" t="str">
        <x:v>Impervious</x:v>
      </x:c>
      <x:c r="B74" s="820" t="str">
        <x:v>稀有</x:v>
      </x:c>
      <x:c r="C74" s="820" t="str">
        <x:v>2</x:v>
      </x:c>
      <x:c r="D74" s="820" t="str">
        <x:v>咒印二·双翼防御</x:v>
      </x:c>
      <x:c r="E74" s="820" t="str">
        <x:v>天之咒印·状态二</x:v>
      </x:c>
      <x:c r="F74" s="820" t="str">
        <x:v>T4 决战</x:v>
      </x:c>
      <x:c r="G74" s="820" t="str">
        <x:v>咒印二完整形态，包含双翼、飞行、翼防御和黑色千鸟表现。</x:v>
      </x:c>
      <x:c r="H74" s="820" t="str">
        <x:v>核心目录</x:v>
      </x:c>
      <x:c r="I74" s="820" t="str">
        <x:v>通过</x:v>
      </x:c>
      <x:c r="J74" s="1741" t="str"/>
    </x:row>
    <x:row r="75" ht="40" customHeight="1">
      <x:c r="A75" s="1740" t="str">
        <x:v>Juggernaut</x:v>
      </x:c>
      <x:c r="B75" s="820" t="str">
        <x:v>稀有</x:v>
      </x:c>
      <x:c r="C75" s="820" t="str">
        <x:v>2</x:v>
      </x:c>
      <x:c r="D75" s="820" t="str">
        <x:v>千鸟流·雷铠反震</x:v>
      </x:c>
      <x:c r="E75" s="820" t="str">
        <x:v>千鸟流</x:v>
      </x:c>
      <x:c r="F75" s="820" t="str">
        <x:v>T3 高阶</x:v>
      </x:c>
      <x:c r="G75" s="820" t="str">
        <x:v>白衣/Hebi代表性周身放电招式，兼具攻击与防御。</x:v>
      </x:c>
      <x:c r="H75" s="820" t="str">
        <x:v>核心目录</x:v>
      </x:c>
      <x:c r="I75" s="820" t="str">
        <x:v>通过</x:v>
      </x:c>
      <x:c r="J75" s="1741" t="str"/>
    </x:row>
    <x:row r="76" ht="40" customHeight="1">
      <x:c r="A76" s="1740" t="str">
        <x:v>Mangle</x:v>
      </x:c>
      <x:c r="B76" s="820" t="str">
        <x:v>稀有</x:v>
      </x:c>
      <x:c r="C76" s="820" t="str">
        <x:v>3</x:v>
      </x:c>
      <x:c r="D76" s="820" t="str">
        <x:v>千鸟·查克拉刀</x:v>
      </x:c>
      <x:c r="E76" s="820" t="str">
        <x:v>千鸟·查克拉刀</x:v>
      </x:c>
      <x:c r="F76" s="820" t="str">
        <x:v>T3 高阶</x:v>
      </x:c>
      <x:c r="G76" s="820" t="str">
        <x:v>《究极风暴》咒印二佐助的体术、剑术与千鸟锐枪组合动作。</x:v>
      </x:c>
      <x:c r="H76" s="820" t="str">
        <x:v>重点补回</x:v>
      </x:c>
      <x:c r="I76" s="820" t="str">
        <x:v>通过</x:v>
      </x:c>
      <x:c r="J76" s="1741" t="str"/>
    </x:row>
    <x:row r="77" ht="40" customHeight="1">
      <x:c r="A77" s="1740" t="str">
        <x:v>Not Yet</x:v>
      </x:c>
      <x:c r="B77" s="820" t="str">
        <x:v>稀有</x:v>
      </x:c>
      <x:c r="C77" s="820" t="str">
        <x:v>2</x:v>
      </x:c>
      <x:c r="D77" s="820" t="str">
        <x:v>白蛇之力</x:v>
      </x:c>
      <x:c r="E77" s="820" t="str">
        <x:v>白蛇之力</x:v>
      </x:c>
      <x:c r="F77" s="820" t="str">
        <x:v>T3 高阶</x:v>
      </x:c>
      <x:c r="G77" s="820" t="str">
        <x:v>吸收大蛇丸后，佐助在白衣/Hebi与兄弟之战期间暂时获得白蛇之力，表现为加速恢复，并在兄弟之战中通过蜕皮逃离天照。</x:v>
      </x:c>
      <x:c r="H77" s="820" t="str">
        <x:v>本次Web补回</x:v>
      </x:c>
      <x:c r="I77" s="820" t="str">
        <x:v>通过</x:v>
      </x:c>
      <x:c r="J77" s="1741" t="str">
        <x:v>Web补回</x:v>
      </x:c>
    </x:row>
    <x:row r="78" ht="40" customHeight="1">
      <x:c r="A78" s="1740" t="str">
        <x:v>Offering</x:v>
      </x:c>
      <x:c r="B78" s="820" t="str">
        <x:v>稀有</x:v>
      </x:c>
      <x:c r="C78" s="820" t="str">
        <x:v>0</x:v>
      </x:c>
      <x:c r="D78" s="820" t="str">
        <x:v>咒印·禁忌解放</x:v>
      </x:c>
      <x:c r="E78" s="820" t="str">
        <x:v>天之咒印</x:v>
      </x:c>
      <x:c r="F78" s="820" t="str">
        <x:v>T4 决战</x:v>
      </x:c>
      <x:c r="G78" s="820" t="str">
        <x:v>白衣/Hebi对大蛇丸、迪达拉及鼬的战斗中实际激活。</x:v>
      </x:c>
      <x:c r="H78" s="820" t="str">
        <x:v>核心目录</x:v>
      </x:c>
      <x:c r="I78" s="820" t="str">
        <x:v>通过</x:v>
      </x:c>
      <x:c r="J78" s="1741" t="str"/>
    </x:row>
    <x:row r="79" ht="40" customHeight="1">
      <x:c r="A79" s="1740" t="str">
        <x:v>One-Two Punch</x:v>
      </x:c>
      <x:c r="B79" s="820" t="str">
        <x:v>稀有</x:v>
      </x:c>
      <x:c r="C79" s="820" t="str">
        <x:v>1</x:v>
      </x:c>
      <x:c r="D79" s="820" t="str">
        <x:v>雷光狮子连弹·二段追击</x:v>
      </x:c>
      <x:c r="E79" s="820" t="str">
        <x:v>雷光狮子连弹</x:v>
      </x:c>
      <x:c r="F79" s="820" t="str">
        <x:v>T3 高阶</x:v>
      </x:c>
      <x:c r="G79" s="820" t="str">
        <x:v>《究极风暴》白衣/Hebi佐助的雷遁体术连段。</x:v>
      </x:c>
      <x:c r="H79" s="820" t="str">
        <x:v>核心目录</x:v>
      </x:c>
      <x:c r="I79" s="820" t="str">
        <x:v>通过</x:v>
      </x:c>
      <x:c r="J79" s="1741" t="str"/>
    </x:row>
    <x:row r="80" ht="40" customHeight="1">
      <x:c r="A80" s="1740" t="str">
        <x:v>Pact's End</x:v>
      </x:c>
      <x:c r="B80" s="820" t="str">
        <x:v>稀有</x:v>
      </x:c>
      <x:c r="C80" s="820" t="str">
        <x:v>0</x:v>
      </x:c>
      <x:c r="D80" s="820" t="str">
        <x:v>豪龙火·雷云引动</x:v>
      </x:c>
      <x:c r="E80" s="820" t="str">
        <x:v>火遁·豪龙火之术</x:v>
      </x:c>
      <x:c r="F80" s="820" t="str">
        <x:v>T4 决战</x:v>
      </x:c>
      <x:c r="G80" s="820" t="str">
        <x:v>兄弟之战对鼬实际使用，并制造麒麟所需雷云。</x:v>
      </x:c>
      <x:c r="H80" s="820" t="str">
        <x:v>核心目录</x:v>
      </x:c>
      <x:c r="I80" s="820" t="str">
        <x:v>通过</x:v>
      </x:c>
      <x:c r="J80" s="1741" t="str"/>
    </x:row>
    <x:row r="81" ht="40" customHeight="1">
      <x:c r="A81" s="1740" t="str">
        <x:v>Primal Force</x:v>
      </x:c>
      <x:c r="B81" s="820" t="str">
        <x:v>稀有</x:v>
      </x:c>
      <x:c r="C81" s="820" t="str">
        <x:v>0</x:v>
      </x:c>
      <x:c r="D81" s="820" t="str">
        <x:v>千鸟锐枪·查克拉压缩</x:v>
      </x:c>
      <x:c r="E81" s="820" t="str">
        <x:v>千鸟锐枪</x:v>
      </x:c>
      <x:c r="F81" s="820" t="str">
        <x:v>T3 高阶</x:v>
      </x:c>
      <x:c r="G81" s="820" t="str">
        <x:v>白衣/Hebi开发并实际使用的中距离千鸟形态变化。</x:v>
      </x:c>
      <x:c r="H81" s="820" t="str">
        <x:v>核心目录</x:v>
      </x:c>
      <x:c r="I81" s="820" t="str">
        <x:v>通过</x:v>
      </x:c>
      <x:c r="J81" s="1741" t="str"/>
    </x:row>
    <x:row r="82" ht="40" customHeight="1">
      <x:c r="A82" s="1740" t="str">
        <x:v>Pyre</x:v>
      </x:c>
      <x:c r="B82" s="820" t="str">
        <x:v>稀有</x:v>
      </x:c>
      <x:c r="C82" s="820" t="str">
        <x:v>2</x:v>
      </x:c>
      <x:c r="D82" s="820" t="str">
        <x:v>豪龙火·雷云蓄势</x:v>
      </x:c>
      <x:c r="E82" s="820" t="str">
        <x:v>火遁·豪龙火之术</x:v>
      </x:c>
      <x:c r="F82" s="820" t="str">
        <x:v>T3 高阶</x:v>
      </x:c>
      <x:c r="G82" s="820" t="str">
        <x:v>兄弟之战对鼬实际使用，并制造麒麟所需雷云。</x:v>
      </x:c>
      <x:c r="H82" s="820" t="str">
        <x:v>核心目录</x:v>
      </x:c>
      <x:c r="I82" s="820" t="str">
        <x:v>通过</x:v>
      </x:c>
      <x:c r="J82" s="1741" t="str"/>
    </x:row>
    <x:row r="83" ht="40" customHeight="1">
      <x:c r="A83" s="1740" t="str">
        <x:v>Stoke</x:v>
      </x:c>
      <x:c r="B83" s="820" t="str">
        <x:v>稀有</x:v>
      </x:c>
      <x:c r="C83" s="820" t="str">
        <x:v>1</x:v>
      </x:c>
      <x:c r="D83" s="820" t="str">
        <x:v>火遁·豪火球·炉心重铸</x:v>
      </x:c>
      <x:c r="E83" s="820" t="str">
        <x:v>火遁·豪火球之术</x:v>
      </x:c>
      <x:c r="F83" s="820" t="str">
        <x:v>T3 高阶</x:v>
      </x:c>
      <x:c r="G83" s="820" t="str">
        <x:v>白衣/Hebi及咒印二《究极风暴》动作；兄弟之战继续使用火遁。</x:v>
      </x:c>
      <x:c r="H83" s="820" t="str">
        <x:v>核心目录</x:v>
      </x:c>
      <x:c r="I83" s="820" t="str">
        <x:v>通过</x:v>
      </x:c>
      <x:c r="J83" s="1741" t="str"/>
    </x:row>
    <x:row r="84" ht="40" customHeight="1">
      <x:c r="A84" s="1740" t="str">
        <x:v>Tear Asunder</x:v>
      </x:c>
      <x:c r="B84" s="820" t="str">
        <x:v>稀有</x:v>
      </x:c>
      <x:c r="C84" s="820" t="str">
        <x:v>2</x:v>
      </x:c>
      <x:c r="D84" s="820" t="str">
        <x:v>羽击千鸟</x:v>
      </x:c>
      <x:c r="E84" s="820" t="str">
        <x:v>羽击千鸟</x:v>
      </x:c>
      <x:c r="F84" s="820" t="str">
        <x:v>T5 变身/终极</x:v>
      </x:c>
      <x:c r="G84" s="820" t="str">
        <x:v>咒印二专属黑色千鸟变体。</x:v>
      </x:c>
      <x:c r="H84" s="820" t="str">
        <x:v>核心目录</x:v>
      </x:c>
      <x:c r="I84" s="820" t="str">
        <x:v>通过</x:v>
      </x:c>
      <x:c r="J84" s="1741" t="str"/>
    </x:row>
    <x:row r="85" ht="40" customHeight="1">
      <x:c r="A85" s="1740" t="str">
        <x:v>Thrash</x:v>
      </x:c>
      <x:c r="B85" s="820" t="str">
        <x:v>稀有</x:v>
      </x:c>
      <x:c r="C85" s="820" t="str">
        <x:v>1</x:v>
      </x:c>
      <x:c r="D85" s="820" t="str">
        <x:v>千鸟刀·吞式</x:v>
      </x:c>
      <x:c r="E85" s="820" t="str">
        <x:v>草薙剑·千鸟刀</x:v>
      </x:c>
      <x:c r="F85" s="820" t="str">
        <x:v>T3 高阶</x:v>
      </x:c>
      <x:c r="G85" s="820" t="str">
        <x:v>白衣/Hebi与兄弟之战实际使用的雷遁附剑体系。</x:v>
      </x:c>
      <x:c r="H85" s="820" t="str">
        <x:v>核心目录</x:v>
      </x:c>
      <x:c r="I85" s="820" t="str">
        <x:v>通过</x:v>
      </x:c>
      <x:c r="J85" s="1741" t="str"/>
    </x:row>
    <x:row r="86" ht="40" customHeight="1">
      <x:c r="A86" s="1740" t="str">
        <x:v>Unmovable</x:v>
      </x:c>
      <x:c r="B86" s="820" t="str">
        <x:v>稀有</x:v>
      </x:c>
      <x:c r="C86" s="820" t="str">
        <x:v>2→1</x:v>
      </x:c>
      <x:c r="D86" s="820" t="str">
        <x:v>咒印二·翼盾</x:v>
      </x:c>
      <x:c r="E86" s="820" t="str">
        <x:v>天之咒印·状态二</x:v>
      </x:c>
      <x:c r="F86" s="820" t="str">
        <x:v>T4 决战</x:v>
      </x:c>
      <x:c r="G86" s="820" t="str">
        <x:v>咒印二完整形态，包含双翼、飞行、翼防御和黑色千鸟表现。</x:v>
      </x:c>
      <x:c r="H86" s="820" t="str">
        <x:v>核心目录</x:v>
      </x:c>
      <x:c r="I86" s="820" t="str">
        <x:v>通过</x:v>
      </x:c>
      <x:c r="J86" s="1741" t="str"/>
    </x:row>
    <x:row r="87" ht="40" customHeight="1">
      <x:c r="A87" s="1740" t="str">
        <x:v>Blaze</x:v>
      </x:c>
      <x:c r="B87" s="820" t="str">
        <x:v>罕见</x:v>
      </x:c>
      <x:c r="C87" s="820" t="str">
        <x:v>2</x:v>
      </x:c>
      <x:c r="D87" s="820" t="str">
        <x:v>火遁·查克拉传递</x:v>
      </x:c>
      <x:c r="E87" s="820" t="str">
        <x:v>火遁·豪火球之术</x:v>
      </x:c>
      <x:c r="F87" s="820" t="str">
        <x:v>T2 进阶</x:v>
      </x:c>
      <x:c r="G87" s="820" t="str">
        <x:v>白衣/Hebi及咒印二《究极风暴》动作；兄弟之战继续使用火遁。</x:v>
      </x:c>
      <x:c r="H87" s="820" t="str">
        <x:v>核心目录</x:v>
      </x:c>
      <x:c r="I87" s="820" t="str">
        <x:v>通过</x:v>
      </x:c>
      <x:c r="J87" s="1741" t="str"/>
    </x:row>
    <x:row r="88" ht="40" customHeight="1">
      <x:c r="A88" s="1740" t="str">
        <x:v>Demonic Shield</x:v>
      </x:c>
      <x:c r="B88" s="820" t="str">
        <x:v>罕见</x:v>
      </x:c>
      <x:c r="C88" s="820" t="str">
        <x:v>0</x:v>
      </x:c>
      <x:c r="D88" s="820" t="str">
        <x:v>咒印二·翼盾转护</x:v>
      </x:c>
      <x:c r="E88" s="820" t="str">
        <x:v>天之咒印·状态二</x:v>
      </x:c>
      <x:c r="F88" s="820" t="str">
        <x:v>T3 高阶</x:v>
      </x:c>
      <x:c r="G88" s="820" t="str">
        <x:v>咒印二完整形态，包含双翼、飞行、翼防御和黑色千鸟表现。</x:v>
      </x:c>
      <x:c r="H88" s="820" t="str">
        <x:v>核心目录</x:v>
      </x:c>
      <x:c r="I88" s="820" t="str">
        <x:v>通过</x:v>
      </x:c>
      <x:c r="J88" s="1741" t="str"/>
    </x:row>
    <x:row r="89" ht="40" customHeight="1">
      <x:c r="A89" s="1740" t="str">
        <x:v>Outrage</x:v>
      </x:c>
      <x:c r="B89" s="820" t="str">
        <x:v>罕见</x:v>
      </x:c>
      <x:c r="C89" s="820" t="str">
        <x:v>0</x:v>
      </x:c>
      <x:c r="D89" s="820" t="str">
        <x:v>操手里剑·共鸣散射</x:v>
      </x:c>
      <x:c r="E89" s="820" t="str">
        <x:v>操手里剑之术</x:v>
      </x:c>
      <x:c r="F89" s="820" t="str">
        <x:v>T3 高阶</x:v>
      </x:c>
      <x:c r="G89" s="820" t="str">
        <x:v>白衣/Hebi对迪达拉战实际使用，首次出现于漫画第358话。</x:v>
      </x:c>
      <x:c r="H89" s="820" t="str">
        <x:v>核心目录</x:v>
      </x:c>
      <x:c r="I89" s="820" t="str">
        <x:v>通过</x:v>
      </x:c>
      <x:c r="J89" s="1741" t="str"/>
    </x:row>
    <x:row r="90" ht="40" customHeight="1">
      <x:c r="A90" s="1740" t="str">
        <x:v>Midnight</x:v>
      </x:c>
      <x:c r="B90" s="820" t="str">
        <x:v>稀有</x:v>
      </x:c>
      <x:c r="C90" s="820" t="str">
        <x:v>12</x:v>
      </x:c>
      <x:c r="D90" s="820" t="str">
        <x:v>麒麟</x:v>
      </x:c>
      <x:c r="E90" s="820" t="str">
        <x:v>麒麟</x:v>
      </x:c>
      <x:c r="F90" s="820" t="str">
        <x:v>T5 变身/终极</x:v>
      </x:c>
      <x:c r="G90" s="820" t="str">
        <x:v>兄弟之战对鼬实际发动的最高终结术。</x:v>
      </x:c>
      <x:c r="H90" s="820" t="str">
        <x:v>核心目录</x:v>
      </x:c>
      <x:c r="I90" s="820" t="str">
        <x:v>通过</x:v>
      </x:c>
      <x:c r="J90" s="1741" t="str"/>
    </x:row>
    <x:row r="91" ht="40" customHeight="1">
      <x:c r="A91" s="1740" t="str">
        <x:v>Tank</x:v>
      </x:c>
      <x:c r="B91" s="820" t="str">
        <x:v>稀有</x:v>
      </x:c>
      <x:c r="C91" s="820" t="str">
        <x:v>1→0</x:v>
      </x:c>
      <x:c r="D91" s="820" t="str">
        <x:v>咒印二·双翼庇护</x:v>
      </x:c>
      <x:c r="E91" s="820" t="str">
        <x:v>天之咒印·状态二</x:v>
      </x:c>
      <x:c r="F91" s="820" t="str">
        <x:v>T4 决战</x:v>
      </x:c>
      <x:c r="G91" s="820" t="str">
        <x:v>咒印二完整形态，包含双翼、飞行、翼防御和黑色千鸟表现。</x:v>
      </x:c>
      <x:c r="H91" s="820" t="str">
        <x:v>核心目录</x:v>
      </x:c>
      <x:c r="I91" s="820" t="str">
        <x:v>通过</x:v>
      </x:c>
      <x:c r="J91" s="1741" t="str"/>
    </x:row>
    <x:row r="92" ht="40" customHeight="1">
      <x:c r="A92" s="1754" t="str">
        <x:v>Giant Rock</x:v>
      </x:c>
      <x:c r="B92" s="1755" t="str">
        <x:v>衍生</x:v>
      </x:c>
      <x:c r="C92" s="1755" t="str">
        <x:v>1</x:v>
      </x:c>
      <x:c r="D92" s="1755" t="str">
        <x:v>千鸟锐枪·贯穿</x:v>
      </x:c>
      <x:c r="E92" s="1755" t="str">
        <x:v>千鸟锐枪</x:v>
      </x:c>
      <x:c r="F92" s="1755" t="str">
        <x:v>T3 高阶</x:v>
      </x:c>
      <x:c r="G92" s="1755" t="str">
        <x:v>白衣/Hebi开发并实际使用的中距离千鸟形态变化。</x:v>
      </x:c>
      <x:c r="H92" s="1755" t="str">
        <x:v>核心目录</x:v>
      </x:c>
      <x:c r="I92" s="1755" t="str">
        <x:v>通过</x:v>
      </x:c>
      <x:c r="J92" s="1756" t="str"/>
    </x:row>
  </x:sheetData>
  <x:mergeCells>
    <x:mergeCell ref="A1:I1"/>
    <x:mergeCell ref="A1:J1"/>
  </x:mergeCells>
  <x:conditionalFormatting sqref="H4:H92">
    <x:cfRule type="expression" dxfId="37" priority="1">
      <x:formula>H4="失败"</x:formula>
    </x:cfRule>
    <x:cfRule type="expression" dxfId="38" priority="2">
      <x:formula>H4="通过"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ecce19ec9a4b9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32" hidden="0" customWidth="1"/>
    <x:col min="4" max="4" width="30" hidden="0" customWidth="1"/>
    <x:col min="5" max="5" width="52" hidden="0" customWidth="1"/>
    <x:col min="6" max="6" width="52" hidden="0" customWidth="1"/>
  </x:cols>
  <x:sheetData>
    <x:row r="1">
      <x:c r="A1" s="1008" t="str">
        <x:v>少年期独占/目标时期未实际使用招式剔除记录</x:v>
      </x:c>
      <x:c r="B1" s="1008"/>
      <x:c r="C1" s="1008"/>
      <x:c r="D1" s="1008"/>
      <x:c r="E1" s="1008"/>
      <x:c r="F1" s="1008"/>
    </x:row>
    <x:row r="3">
      <x:c r="A3" s="1013" t="str">
        <x:v>被剔除依据</x:v>
      </x:c>
      <x:c r="B3" s="1013" t="str">
        <x:v>剔除原因</x:v>
      </x:c>
      <x:c r="C3" s="1013" t="str">
        <x:v>受影响卡牌</x:v>
      </x:c>
      <x:c r="D3" s="1013" t="str">
        <x:v>替换后的真实依据</x:v>
      </x:c>
      <x:c r="E3" s="1013" t="str">
        <x:v>核验说明</x:v>
      </x:c>
      <x:c r="F3" s="1013" t="str">
        <x:v>证据URL</x:v>
      </x:c>
    </x:row>
    <x:row r="4" ht="70" customHeight="1">
      <x:c r="A4" s="1059" t="str">
        <x:v>影手里剑之术</x:v>
      </x:c>
      <x:c r="B4" s="1060" t="str">
        <x:v>明确属于少年期招式，未找到白衣/Hebi、兄弟之战或咒印二阶段再次实际使用的充分证据。</x:v>
      </x:c>
      <x:c r="C4" s="1060" t="str">
        <x:v>Anger、Juggling</x:v>
      </x:c>
      <x:c r="D4" s="1060" t="str">
        <x:v>操手里剑之术</x:v>
      </x:c>
      <x:c r="E4" s="1060" t="str">
        <x:v>操手里剑之术在白衣/Hebi对迪达拉战（漫画第358话）实际使用。</x:v>
      </x:c>
      <x:c r="F4" s="1061" t="str">
        <x:v>https://naruto.fandom.com/wiki/Manipulated_Shuriken_Technique</x:v>
      </x:c>
    </x:row>
    <x:row r="5" ht="70" customHeight="1">
      <x:c r="A5" s="1062" t="str">
        <x:v>操风车三之大刀</x:v>
      </x:c>
      <x:c r="B5" s="573" t="str">
        <x:v>明确首用于少年时期对大蛇丸；目标时期虽继续使用忍具和钢丝，但未确认再次使用该正式招式。</x:v>
      </x:c>
      <x:c r="C5" s="573" t="str">
        <x:v>Sword Boomerang、Outrage</x:v>
      </x:c>
      <x:c r="D5" s="573" t="str">
        <x:v>操手里剑之术</x:v>
      </x:c>
      <x:c r="E5" s="573" t="str">
        <x:v>以目标时期实际使用的操手里剑术替代。</x:v>
      </x:c>
      <x:c r="F5" s="1063" t="str">
        <x:v>https://naruto.fandom.com/wiki/Manipulating_Windmill_Triple_Blades</x:v>
      </x:c>
    </x:row>
    <x:row r="6" ht="70" customHeight="1">
      <x:c r="A6" s="1062" t="str">
        <x:v>狮子连弹</x:v>
      </x:c>
      <x:c r="B6" s="573" t="str">
        <x:v>原作正式狮子连弹属于少年期；白衣/Hebi游戏中出现的是不同名称的雷光狮子连弹。</x:v>
      </x:c>
      <x:c r="C6" s="573" t="str">
        <x:v>Headbutt、Fight Me!、One-Two Punch</x:v>
      </x:c>
      <x:c r="D6" s="573" t="str">
        <x:v>雷光狮子连弹（游戏）</x:v>
      </x:c>
      <x:c r="E6" s="573" t="str">
        <x:v>使用《究极风暴》白衣/Hebi佐助明确招式名作为动作依据。</x:v>
      </x:c>
      <x:c r="F6" s="1063" t="str">
        <x:v>https://naruto-ultimate-ninja-storm.fandom.com/wiki/Sasuke_Uchiha/Move_List</x:v>
      </x:c>
    </x:row>
    <x:row r="7" ht="70" customHeight="1">
      <x:c r="A7" s="1064" t="str">
        <x:v>火遁·龙火之术</x:v>
      </x:c>
      <x:c r="B7" s="1065" t="str">
        <x:v>佐助正式使用记录集中在少年时期，未确认白衣/Hebi或兄弟之战再次使用。</x:v>
      </x:c>
      <x:c r="C7" s="1065" t="str">
        <x:v>Cinder、Ashen Strike</x:v>
      </x:c>
      <x:c r="D7" s="1065" t="str">
        <x:v>火遁·豪火球之术</x:v>
      </x:c>
      <x:c r="E7" s="1065" t="str">
        <x:v>豪火球在白衣/Hebi和咒印二游戏动作中有明确表现；高阶火遁另使用兄弟之战豪龙火。</x:v>
      </x:c>
      <x:c r="F7" s="1066" t="str">
        <x:v>https://naruto-ultimate-ninja-storm.fandom.com/wiki/Sasuke_Uchiha/Move_List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d8ed848085448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14" hidden="0" customWidth="1"/>
    <x:col min="5" max="5" width="34" hidden="0" customWidth="1"/>
    <x:col min="6" max="6" width="64" hidden="0" customWidth="1"/>
    <x:col min="7" max="7" width="16" hidden="0" customWidth="1"/>
    <x:col min="8" max="8" width="14" hidden="0" customWidth="1"/>
    <x:col min="9" max="9" width="12" hidden="0" customWidth="1"/>
  </x:cols>
  <x:sheetData>
    <x:row r="1">
      <x:c r="A1" s="1615" t="str">
        <x:v>写轮眼与易伤：原著识别命名及动画联动校验</x:v>
      </x:c>
      <x:c r="B1" s="1615"/>
      <x:c r="C1" s="1615"/>
      <x:c r="D1" s="1615"/>
      <x:c r="E1" s="1615"/>
      <x:c r="F1" s="1615"/>
      <x:c r="G1" s="1615"/>
      <x:c r="H1" s="1615"/>
      <x:c r="I1" s="1615"/>
    </x:row>
    <x:row r="3">
      <x:c r="A3" s="1624" t="str">
        <x:v>卡牌英文名</x:v>
      </x:c>
      <x:c r="B3" s="1624" t="str">
        <x:v>最终面板名</x:v>
      </x:c>
      <x:c r="C3" s="1624" t="str">
        <x:v>卡牌效果</x:v>
      </x:c>
      <x:c r="D3" s="1624" t="str">
        <x:v>是否易伤相关</x:v>
      </x:c>
      <x:c r="E3" s="1624" t="str">
        <x:v>写轮眼联动类型</x:v>
      </x:c>
      <x:c r="F3" s="1624" t="str">
        <x:v>动画规则</x:v>
      </x:c>
      <x:c r="G3" s="1624" t="str">
        <x:v>名称语义检查</x:v>
      </x:c>
      <x:c r="H3" s="1624" t="str">
        <x:v>机制检查</x:v>
      </x:c>
      <x:c r="I3" s="1624" t="str">
        <x:v>结果</x:v>
      </x:c>
    </x:row>
    <x:row r="4" ht="42" customHeight="1">
      <x:c r="A4" s="1674" t="str">
        <x:v>Bash</x:v>
      </x:c>
      <x:c r="B4" s="1675" t="str">
        <x:v>写轮眼·破势</x:v>
      </x:c>
      <x:c r="C4" s="1675" t="str">
        <x:v>造成8点伤害；施加2层易伤。</x:v>
      </x:c>
      <x:c r="D4" s="1675" t="str">
        <x:v>是</x:v>
      </x:c>
      <x:c r="E4" s="1675" t="str">
        <x:v>施加易伤｜开启解析</x:v>
      </x:c>
      <x:c r="F4" s="1675" t="str">
        <x:v>攻击命中并正式施加易伤时开启三勾玉；目标出现破绽轮廓与命中点标记。若目标已易伤，则不重复完整开眼，只刷新解析脉冲。</x:v>
      </x:c>
      <x:c r="G4" s="1675" t="str">
        <x:v>通过</x:v>
      </x:c>
      <x:c r="H4" s="1675" t="str">
        <x:v>通过</x:v>
      </x:c>
      <x:c r="I4" s="1686" t="str">
        <x:v>通过</x:v>
      </x:c>
    </x:row>
    <x:row r="5" ht="42" customHeight="1">
      <x:c r="A5" s="1631" t="str">
        <x:v>Defend (Ironclad)</x:v>
      </x:c>
      <x:c r="B5" s="820" t="str">
        <x:v>草薙剑·剑御</x:v>
      </x:c>
      <x:c r="C5" s="820" t="str">
        <x:v>获得5点格挡。</x:v>
      </x:c>
      <x:c r="D5" s="820" t="str">
        <x:v>否</x:v>
      </x:c>
      <x:c r="E5" s="820" t="str">
        <x:v>无</x:v>
      </x:c>
      <x:c r="F5" s="820" t="str">
        <x:v>本牌不得开启、延长或强化敌人/场景的写轮眼解析。阶段4角色自身红眼常驻属于形态表现，不代表本牌触发易伤解析。</x:v>
      </x:c>
      <x:c r="G5" s="820" t="str">
        <x:v>通过</x:v>
      </x:c>
      <x:c r="H5" s="820" t="str">
        <x:v>通过</x:v>
      </x:c>
      <x:c r="I5" s="1643" t="str">
        <x:v>通过</x:v>
      </x:c>
    </x:row>
    <x:row r="6" ht="42" customHeight="1">
      <x:c r="A6" s="1631" t="str">
        <x:v>Strike (Ironclad)</x:v>
      </x:c>
      <x:c r="B6" s="820" t="str">
        <x:v>草薙剑·瞬斩</x:v>
      </x:c>
      <x:c r="C6" s="820" t="str">
        <x:v>造成6点伤害。</x:v>
      </x:c>
      <x:c r="D6" s="820" t="str">
        <x:v>否</x:v>
      </x:c>
      <x:c r="E6" s="820" t="str">
        <x:v>无</x:v>
      </x:c>
      <x:c r="F6" s="820" t="str">
        <x:v>本牌不得开启、延长或强化敌人/场景的写轮眼解析。阶段4角色自身红眼常驻属于形态表现，不代表本牌触发易伤解析。</x:v>
      </x:c>
      <x:c r="G6" s="820" t="str">
        <x:v>通过</x:v>
      </x:c>
      <x:c r="H6" s="820" t="str">
        <x:v>通过</x:v>
      </x:c>
      <x:c r="I6" s="1643" t="str">
        <x:v>通过</x:v>
      </x:c>
    </x:row>
    <x:row r="7" ht="42" customHeight="1">
      <x:c r="A7" s="1631" t="str">
        <x:v>Anger</x:v>
      </x:c>
      <x:c r="B7" s="820" t="str">
        <x:v>操手里剑·影袭</x:v>
      </x:c>
      <x:c r="C7" s="820" t="str">
        <x:v>造成6点伤害；将此牌的一张复制加入弃牌堆。</x:v>
      </x:c>
      <x:c r="D7" s="820" t="str">
        <x:v>否</x:v>
      </x:c>
      <x:c r="E7" s="820" t="str">
        <x:v>无</x:v>
      </x:c>
      <x:c r="F7" s="820" t="str">
        <x:v>本牌不得开启、延长或强化敌人/场景的写轮眼解析。阶段4角色自身红眼常驻属于形态表现，不代表本牌触发易伤解析。</x:v>
      </x:c>
      <x:c r="G7" s="820" t="str">
        <x:v>通过</x:v>
      </x:c>
      <x:c r="H7" s="820" t="str">
        <x:v>通过</x:v>
      </x:c>
      <x:c r="I7" s="1643" t="str">
        <x:v>通过</x:v>
      </x:c>
    </x:row>
    <x:row r="8" ht="42" customHeight="1">
      <x:c r="A8" s="1631" t="str">
        <x:v>Armaments</x:v>
      </x:c>
      <x:c r="B8" s="820" t="str">
        <x:v>通灵·雷光剑化</x:v>
      </x:c>
      <x:c r="C8" s="820" t="str">
        <x:v>获得5点格挡；升级手牌中的1张牌。</x:v>
      </x:c>
      <x:c r="D8" s="820" t="str">
        <x:v>否</x:v>
      </x:c>
      <x:c r="E8" s="820" t="str">
        <x:v>无</x:v>
      </x:c>
      <x:c r="F8" s="820" t="str">
        <x:v>本牌不得开启、延长或强化敌人/场景的写轮眼解析。阶段4角色自身红眼常驻属于形态表现，不代表本牌触发易伤解析。</x:v>
      </x:c>
      <x:c r="G8" s="820" t="str">
        <x:v>通过</x:v>
      </x:c>
      <x:c r="H8" s="820" t="str">
        <x:v>通过</x:v>
      </x:c>
      <x:c r="I8" s="1643" t="str">
        <x:v>通过</x:v>
      </x:c>
    </x:row>
    <x:row r="9" ht="42" customHeight="1">
      <x:c r="A9" s="1631" t="str">
        <x:v>Blood Wall</x:v>
      </x:c>
      <x:c r="B9" s="820" t="str">
        <x:v>咒印·血界</x:v>
      </x:c>
      <x:c r="C9" s="820" t="str">
        <x:v>失去2点生命；获得16点格挡。</x:v>
      </x:c>
      <x:c r="D9" s="820" t="str">
        <x:v>否</x:v>
      </x:c>
      <x:c r="E9" s="820" t="str">
        <x:v>无</x:v>
      </x:c>
      <x:c r="F9" s="820" t="str">
        <x:v>本牌不得开启、延长或强化敌人/场景的写轮眼解析。阶段4角色自身红眼常驻属于形态表现，不代表本牌触发易伤解析。</x:v>
      </x:c>
      <x:c r="G9" s="820" t="str">
        <x:v>通过</x:v>
      </x:c>
      <x:c r="H9" s="820" t="str">
        <x:v>通过</x:v>
      </x:c>
      <x:c r="I9" s="1643" t="str">
        <x:v>通过</x:v>
      </x:c>
    </x:row>
    <x:row r="10" ht="42" customHeight="1">
      <x:c r="A10" s="1631" t="str">
        <x:v>Body Slam</x:v>
      </x:c>
      <x:c r="B10" s="820" t="str">
        <x:v>千鸟·落雷</x:v>
      </x:c>
      <x:c r="C10" s="820" t="str">
        <x:v>造成等同于当前格挡值的伤害。</x:v>
      </x:c>
      <x:c r="D10" s="820" t="str">
        <x:v>否</x:v>
      </x:c>
      <x:c r="E10" s="820" t="str">
        <x:v>无</x:v>
      </x:c>
      <x:c r="F10" s="820" t="str">
        <x:v>本牌不得开启、延长或强化敌人/场景的写轮眼解析。阶段4角色自身红眼常驻属于形态表现，不代表本牌触发易伤解析。</x:v>
      </x:c>
      <x:c r="G10" s="820" t="str">
        <x:v>通过</x:v>
      </x:c>
      <x:c r="H10" s="820" t="str">
        <x:v>通过</x:v>
      </x:c>
      <x:c r="I10" s="1643" t="str">
        <x:v>通过</x:v>
      </x:c>
    </x:row>
    <x:row r="11" ht="42" customHeight="1">
      <x:c r="A11" s="1631" t="str">
        <x:v>Breakthrough</x:v>
      </x:c>
      <x:c r="B11" s="820" t="str">
        <x:v>千鸟流·突围</x:v>
      </x:c>
      <x:c r="C11" s="820" t="str">
        <x:v>失去1点生命；对所有敌人造成9点伤害。</x:v>
      </x:c>
      <x:c r="D11" s="820" t="str">
        <x:v>否</x:v>
      </x:c>
      <x:c r="E11" s="820" t="str">
        <x:v>无</x:v>
      </x:c>
      <x:c r="F11" s="820" t="str">
        <x:v>本牌不得开启、延长或强化敌人/场景的写轮眼解析。阶段4角色自身红眼常驻属于形态表现，不代表本牌触发易伤解析。</x:v>
      </x:c>
      <x:c r="G11" s="820" t="str">
        <x:v>通过</x:v>
      </x:c>
      <x:c r="H11" s="820" t="str">
        <x:v>通过</x:v>
      </x:c>
      <x:c r="I11" s="1643" t="str">
        <x:v>通过</x:v>
      </x:c>
    </x:row>
    <x:row r="12" ht="42" customHeight="1">
      <x:c r="A12" s="1631" t="str">
        <x:v>Cinder</x:v>
      </x:c>
      <x:c r="B12" s="820" t="str">
        <x:v>火遁·豪火球之术·落火</x:v>
      </x:c>
      <x:c r="C12" s="820" t="str">
        <x:v>造成18点伤害；随机消耗手牌中的1张牌。</x:v>
      </x:c>
      <x:c r="D12" s="820" t="str">
        <x:v>否</x:v>
      </x:c>
      <x:c r="E12" s="820" t="str">
        <x:v>无</x:v>
      </x:c>
      <x:c r="F12" s="820" t="str">
        <x:v>本牌不得开启、延长或强化敌人/场景的写轮眼解析。阶段4角色自身红眼常驻属于形态表现，不代表本牌触发易伤解析。</x:v>
      </x:c>
      <x:c r="G12" s="820" t="str">
        <x:v>通过</x:v>
      </x:c>
      <x:c r="H12" s="820" t="str">
        <x:v>通过</x:v>
      </x:c>
      <x:c r="I12" s="1643" t="str">
        <x:v>通过</x:v>
      </x:c>
    </x:row>
    <x:row r="13" ht="42" customHeight="1">
      <x:c r="A13" s="1631" t="str">
        <x:v>Havoc</x:v>
      </x:c>
      <x:c r="B13" s="820" t="str">
        <x:v>咒印·暴流</x:v>
      </x:c>
      <x:c r="C13" s="820" t="str">
        <x:v>打出抽牌堆顶牌并将其消耗。</x:v>
      </x:c>
      <x:c r="D13" s="820" t="str">
        <x:v>否</x:v>
      </x:c>
      <x:c r="E13" s="820" t="str">
        <x:v>无</x:v>
      </x:c>
      <x:c r="F13" s="820" t="str">
        <x:v>本牌不得开启、延长或强化敌人/场景的写轮眼解析。阶段4角色自身红眼常驻属于形态表现，不代表本牌触发易伤解析。</x:v>
      </x:c>
      <x:c r="G13" s="820" t="str">
        <x:v>通过</x:v>
      </x:c>
      <x:c r="H13" s="820" t="str">
        <x:v>通过</x:v>
      </x:c>
      <x:c r="I13" s="1643" t="str">
        <x:v>通过</x:v>
      </x:c>
    </x:row>
    <x:row r="14" ht="42" customHeight="1">
      <x:c r="A14" s="1631" t="str">
        <x:v>Headbutt</x:v>
      </x:c>
      <x:c r="B14" s="820" t="str">
        <x:v>雷光狮子连弹·冲膝</x:v>
      </x:c>
      <x:c r="C14" s="820" t="str">
        <x:v>造成9点伤害；将弃牌堆中的1张牌放到抽牌堆顶。</x:v>
      </x:c>
      <x:c r="D14" s="820" t="str">
        <x:v>否</x:v>
      </x:c>
      <x:c r="E14" s="820" t="str">
        <x:v>无</x:v>
      </x:c>
      <x:c r="F14" s="820" t="str">
        <x:v>本牌不得开启、延长或强化敌人/场景的写轮眼解析。阶段4角色自身红眼常驻属于形态表现，不代表本牌触发易伤解析。</x:v>
      </x:c>
      <x:c r="G14" s="820" t="str">
        <x:v>通过</x:v>
      </x:c>
      <x:c r="H14" s="820" t="str">
        <x:v>通过</x:v>
      </x:c>
      <x:c r="I14" s="1643" t="str">
        <x:v>通过</x:v>
      </x:c>
    </x:row>
    <x:row r="15" ht="42" customHeight="1">
      <x:c r="A15" s="1631" t="str">
        <x:v>Iron Wave</x:v>
      </x:c>
      <x:c r="B15" s="820" t="str">
        <x:v>草薙剑·千鸟刀</x:v>
      </x:c>
      <x:c r="C15" s="820" t="str">
        <x:v>获得5点格挡；造成5点伤害。</x:v>
      </x:c>
      <x:c r="D15" s="820" t="str">
        <x:v>否</x:v>
      </x:c>
      <x:c r="E15" s="820" t="str">
        <x:v>无</x:v>
      </x:c>
      <x:c r="F15" s="820" t="str">
        <x:v>本牌不得开启、延长或强化敌人/场景的写轮眼解析。阶段4角色自身红眼常驻属于形态表现，不代表本牌触发易伤解析。</x:v>
      </x:c>
      <x:c r="G15" s="820" t="str">
        <x:v>通过</x:v>
      </x:c>
      <x:c r="H15" s="820" t="str">
        <x:v>通过</x:v>
      </x:c>
      <x:c r="I15" s="1643" t="str">
        <x:v>通过</x:v>
      </x:c>
    </x:row>
    <x:row r="16" ht="42" customHeight="1">
      <x:c r="A16" s="1631" t="str">
        <x:v>Molten Fist</x:v>
      </x:c>
      <x:c r="B16" s="820" t="str">
        <x:v>写轮眼·裂隙拳</x:v>
      </x:c>
      <x:c r="C16" s="820" t="str">
        <x:v>造成10点伤害；使目标现有易伤层数翻倍；消耗。</x:v>
      </x:c>
      <x:c r="D16" s="820" t="str">
        <x:v>是</x:v>
      </x:c>
      <x:c r="E16" s="820" t="str">
        <x:v>易伤增幅｜强化解析</x:v>
      </x:c>
      <x:c r="F16" s="820" t="str">
        <x:v>仅当目标已有易伤时强化写轮眼解析：勾玉旋转加速、弱点标记加深，并在易伤层数翻倍后刷新持续时间；目标无易伤时不得开启解析。</x:v>
      </x:c>
      <x:c r="G16" s="820" t="str">
        <x:v>通过</x:v>
      </x:c>
      <x:c r="H16" s="820" t="str">
        <x:v>通过</x:v>
      </x:c>
      <x:c r="I16" s="1643" t="str">
        <x:v>通过</x:v>
      </x:c>
    </x:row>
    <x:row r="17" ht="42" customHeight="1">
      <x:c r="A17" s="1631" t="str">
        <x:v>Perfected Strike</x:v>
      </x:c>
      <x:c r="B17" s="820" t="str">
        <x:v>草薙剑·千鸟连式</x:v>
      </x:c>
      <x:c r="C17" s="820" t="str">
        <x:v>造成6点伤害；每张名称含“Strike”的牌额外造成2点伤害。</x:v>
      </x:c>
      <x:c r="D17" s="820" t="str">
        <x:v>否</x:v>
      </x:c>
      <x:c r="E17" s="820" t="str">
        <x:v>无</x:v>
      </x:c>
      <x:c r="F17" s="820" t="str">
        <x:v>本牌不得开启、延长或强化敌人/场景的写轮眼解析。阶段4角色自身红眼常驻属于形态表现，不代表本牌触发易伤解析。</x:v>
      </x:c>
      <x:c r="G17" s="820" t="str">
        <x:v>通过</x:v>
      </x:c>
      <x:c r="H17" s="820" t="str">
        <x:v>通过</x:v>
      </x:c>
      <x:c r="I17" s="1643" t="str">
        <x:v>通过</x:v>
      </x:c>
    </x:row>
    <x:row r="18" ht="42" customHeight="1">
      <x:c r="A18" s="1631" t="str">
        <x:v>Pommel Strike</x:v>
      </x:c>
      <x:c r="B18" s="820" t="str">
        <x:v>草薙剑·柄击</x:v>
      </x:c>
      <x:c r="C18" s="820" t="str">
        <x:v>造成9点伤害；抽1张牌。</x:v>
      </x:c>
      <x:c r="D18" s="820" t="str">
        <x:v>否</x:v>
      </x:c>
      <x:c r="E18" s="820" t="str">
        <x:v>无</x:v>
      </x:c>
      <x:c r="F18" s="820" t="str">
        <x:v>本牌不得开启、延长或强化敌人/场景的写轮眼解析。阶段4角色自身红眼常驻属于形态表现，不代表本牌触发易伤解析。</x:v>
      </x:c>
      <x:c r="G18" s="820" t="str">
        <x:v>通过</x:v>
      </x:c>
      <x:c r="H18" s="820" t="str">
        <x:v>通过</x:v>
      </x:c>
      <x:c r="I18" s="1643" t="str">
        <x:v>通过</x:v>
      </x:c>
    </x:row>
    <x:row r="19" ht="42" customHeight="1">
      <x:c r="A19" s="1631" t="str">
        <x:v>Setup Strike</x:v>
      </x:c>
      <x:c r="B19" s="820" t="str">
        <x:v>千鸟刀·蓄势</x:v>
      </x:c>
      <x:c r="C19" s="820" t="str">
        <x:v>造成7点伤害；本回合获得3点力量。</x:v>
      </x:c>
      <x:c r="D19" s="820" t="str">
        <x:v>否</x:v>
      </x:c>
      <x:c r="E19" s="820" t="str">
        <x:v>无</x:v>
      </x:c>
      <x:c r="F19" s="820" t="str">
        <x:v>本牌不得开启、延长或强化敌人/场景的写轮眼解析。阶段4角色自身红眼常驻属于形态表现，不代表本牌触发易伤解析。</x:v>
      </x:c>
      <x:c r="G19" s="820" t="str">
        <x:v>通过</x:v>
      </x:c>
      <x:c r="H19" s="820" t="str">
        <x:v>通过</x:v>
      </x:c>
      <x:c r="I19" s="1643" t="str">
        <x:v>通过</x:v>
      </x:c>
    </x:row>
    <x:row r="20" ht="42" customHeight="1">
      <x:c r="A20" s="1631" t="str">
        <x:v>Shrug It Off</x:v>
      </x:c>
      <x:c r="B20" s="820" t="str">
        <x:v>大蛇丸流·蜕皮</x:v>
      </x:c>
      <x:c r="C20" s="820" t="str">
        <x:v>获得8点格挡；抽1张牌。</x:v>
      </x:c>
      <x:c r="D20" s="820" t="str">
        <x:v>否</x:v>
      </x:c>
      <x:c r="E20" s="820" t="str">
        <x:v>无</x:v>
      </x:c>
      <x:c r="F20" s="820" t="str">
        <x:v>本牌不得开启、延长或强化敌人/场景的写轮眼解析。阶段4角色自身红眼常驻属于形态表现，不代表本牌触发易伤解析。</x:v>
      </x:c>
      <x:c r="G20" s="820" t="str">
        <x:v>通过</x:v>
      </x:c>
      <x:c r="H20" s="820" t="str">
        <x:v>通过</x:v>
      </x:c>
      <x:c r="I20" s="1643" t="str">
        <x:v>通过</x:v>
      </x:c>
    </x:row>
    <x:row r="21" ht="42" customHeight="1">
      <x:c r="A21" s="1631" t="str">
        <x:v>Sword Boomerang</x:v>
      </x:c>
      <x:c r="B21" s="820" t="str">
        <x:v>千鸟千本</x:v>
      </x:c>
      <x:c r="C21" s="820" t="str">
        <x:v>随机对敌人造成3点伤害3次。</x:v>
      </x:c>
      <x:c r="D21" s="820" t="str">
        <x:v>否</x:v>
      </x:c>
      <x:c r="E21" s="820" t="str">
        <x:v>无</x:v>
      </x:c>
      <x:c r="F21" s="820" t="str">
        <x:v>本牌不得开启、延长或强化敌人/场景的写轮眼解析。阶段4角色自身红眼常驻属于形态表现，不代表本牌触发易伤解析。</x:v>
      </x:c>
      <x:c r="G21" s="820" t="str">
        <x:v>通过</x:v>
      </x:c>
      <x:c r="H21" s="820" t="str">
        <x:v>通过</x:v>
      </x:c>
      <x:c r="I21" s="1643" t="str">
        <x:v>通过</x:v>
      </x:c>
    </x:row>
    <x:row r="22" ht="42" customHeight="1">
      <x:c r="A22" s="1631" t="str">
        <x:v>Taunt</x:v>
      </x:c>
      <x:c r="B22" s="820" t="str">
        <x:v>幻术·写轮眼</x:v>
      </x:c>
      <x:c r="C22" s="820" t="str">
        <x:v>获得6点格挡；施加1层易伤。</x:v>
      </x:c>
      <x:c r="D22" s="820" t="str">
        <x:v>是</x:v>
      </x:c>
      <x:c r="E22" s="820" t="str">
        <x:v>施加易伤｜开启解析</x:v>
      </x:c>
      <x:c r="F22" s="820" t="str">
        <x:v>格挡动作诱导敌人按预测路线出手；易伤生效时开启写轮眼并标记攻击破绽。</x:v>
      </x:c>
      <x:c r="G22" s="820" t="str">
        <x:v>通过</x:v>
      </x:c>
      <x:c r="H22" s="820" t="str">
        <x:v>通过</x:v>
      </x:c>
      <x:c r="I22" s="1643" t="str">
        <x:v>通过</x:v>
      </x:c>
    </x:row>
    <x:row r="23" ht="42" customHeight="1">
      <x:c r="A23" s="1631" t="str">
        <x:v>Thunderclap</x:v>
      </x:c>
      <x:c r="B23" s="820" t="str">
        <x:v>千鸟流·雷震</x:v>
      </x:c>
      <x:c r="C23" s="820" t="str">
        <x:v>对所有敌人造成4点伤害并施加1层易伤。</x:v>
      </x:c>
      <x:c r="D23" s="820" t="str">
        <x:v>是</x:v>
      </x:c>
      <x:c r="E23" s="820" t="str">
        <x:v>群体施加易伤｜逐目标开启</x:v>
      </x:c>
      <x:c r="F23" s="820" t="str">
        <x:v>雷环命中后，仅对实际获得易伤的敌人逐个显示写轮眼轮廓；不得把未获得易伤的敌人一并标记。</x:v>
      </x:c>
      <x:c r="G23" s="820" t="str">
        <x:v>通过</x:v>
      </x:c>
      <x:c r="H23" s="820" t="str">
        <x:v>通过</x:v>
      </x:c>
      <x:c r="I23" s="1643" t="str">
        <x:v>通过</x:v>
      </x:c>
    </x:row>
    <x:row r="24" ht="42" customHeight="1">
      <x:c r="A24" s="1631" t="str">
        <x:v>Tremble</x:v>
      </x:c>
      <x:c r="B24" s="820" t="str">
        <x:v>魔幻·枷杭之术</x:v>
      </x:c>
      <x:c r="C24" s="820" t="str">
        <x:v>施加3层易伤；消耗。</x:v>
      </x:c>
      <x:c r="D24" s="820" t="str">
        <x:v>是</x:v>
      </x:c>
      <x:c r="E24" s="820" t="str">
        <x:v>施加易伤｜强制开启解析</x:v>
      </x:c>
      <x:c r="F24" s="820" t="str">
        <x:v>易伤生效时播放一次短眼部特写和写轮眼威压；之后仅保留目标解析，不持续覆盖全屏红色滤镜。</x:v>
      </x:c>
      <x:c r="G24" s="820" t="str">
        <x:v>通过</x:v>
      </x:c>
      <x:c r="H24" s="820" t="str">
        <x:v>通过</x:v>
      </x:c>
      <x:c r="I24" s="1643" t="str">
        <x:v>通过</x:v>
      </x:c>
    </x:row>
    <x:row r="25" ht="42" customHeight="1">
      <x:c r="A25" s="1631" t="str">
        <x:v>True Grit</x:v>
      </x:c>
      <x:c r="B25" s="820" t="str">
        <x:v>咒印·坚忍</x:v>
      </x:c>
      <x:c r="C25" s="820" t="str">
        <x:v>获得7点格挡；随机消耗手牌中的1张牌。</x:v>
      </x:c>
      <x:c r="D25" s="820" t="str">
        <x:v>否</x:v>
      </x:c>
      <x:c r="E25" s="820" t="str">
        <x:v>无</x:v>
      </x:c>
      <x:c r="F25" s="820" t="str">
        <x:v>本牌不得开启、延长或强化敌人/场景的写轮眼解析。阶段4角色自身红眼常驻属于形态表现，不代表本牌触发易伤解析。</x:v>
      </x:c>
      <x:c r="G25" s="820" t="str">
        <x:v>通过</x:v>
      </x:c>
      <x:c r="H25" s="820" t="str">
        <x:v>通过</x:v>
      </x:c>
      <x:c r="I25" s="1643" t="str">
        <x:v>通过</x:v>
      </x:c>
    </x:row>
    <x:row r="26" ht="42" customHeight="1">
      <x:c r="A26" s="1631" t="str">
        <x:v>Twin Strike</x:v>
      </x:c>
      <x:c r="B26" s="820" t="str">
        <x:v>草薙剑·双闪</x:v>
      </x:c>
      <x:c r="C26" s="820" t="str">
        <x:v>造成5点伤害2次。</x:v>
      </x:c>
      <x:c r="D26" s="820" t="str">
        <x:v>否</x:v>
      </x:c>
      <x:c r="E26" s="820" t="str">
        <x:v>无</x:v>
      </x:c>
      <x:c r="F26" s="820" t="str">
        <x:v>本牌不得开启、延长或强化敌人/场景的写轮眼解析。阶段4角色自身红眼常驻属于形态表现，不代表本牌触发易伤解析。</x:v>
      </x:c>
      <x:c r="G26" s="820" t="str">
        <x:v>通过</x:v>
      </x:c>
      <x:c r="H26" s="820" t="str">
        <x:v>通过</x:v>
      </x:c>
      <x:c r="I26" s="1643" t="str">
        <x:v>通过</x:v>
      </x:c>
    </x:row>
    <x:row r="27" ht="42" customHeight="1">
      <x:c r="A27" s="1631" t="str">
        <x:v>Ashen Strike</x:v>
      </x:c>
      <x:c r="B27" s="820" t="str">
        <x:v>火遁·落火·灰烬追击</x:v>
      </x:c>
      <x:c r="C27" s="820" t="str">
        <x:v>造成6点伤害；消耗堆中每有1张牌，额外造成3点伤害。</x:v>
      </x:c>
      <x:c r="D27" s="820" t="str">
        <x:v>否</x:v>
      </x:c>
      <x:c r="E27" s="820" t="str">
        <x:v>无</x:v>
      </x:c>
      <x:c r="F27" s="820" t="str">
        <x:v>本牌不得开启、延长或强化敌人/场景的写轮眼解析。阶段4角色自身红眼常驻属于形态表现，不代表本牌触发易伤解析。</x:v>
      </x:c>
      <x:c r="G27" s="820" t="str">
        <x:v>通过</x:v>
      </x:c>
      <x:c r="H27" s="820" t="str">
        <x:v>通过</x:v>
      </x:c>
      <x:c r="I27" s="1643" t="str">
        <x:v>通过</x:v>
      </x:c>
    </x:row>
    <x:row r="28" ht="42" customHeight="1">
      <x:c r="A28" s="1631" t="str">
        <x:v>Battle Trance</x:v>
      </x:c>
      <x:c r="B28" s="820" t="str">
        <x:v>雷光剑化·三器展开</x:v>
      </x:c>
      <x:c r="C28" s="820" t="str">
        <x:v>抽3张牌；本回合无法再抽牌。</x:v>
      </x:c>
      <x:c r="D28" s="820" t="str">
        <x:v>否</x:v>
      </x:c>
      <x:c r="E28" s="820" t="str">
        <x:v>无</x:v>
      </x:c>
      <x:c r="F28" s="820" t="str">
        <x:v>本牌不得开启、延长或强化敌人/场景的写轮眼解析。阶段4角色自身红眼常驻属于形态表现，不代表本牌触发易伤解析。</x:v>
      </x:c>
      <x:c r="G28" s="820" t="str">
        <x:v>通过</x:v>
      </x:c>
      <x:c r="H28" s="820" t="str">
        <x:v>通过</x:v>
      </x:c>
      <x:c r="I28" s="1643" t="str">
        <x:v>通过</x:v>
      </x:c>
    </x:row>
    <x:row r="29" ht="42" customHeight="1">
      <x:c r="A29" s="1631" t="str">
        <x:v>Bloodletting</x:v>
      </x:c>
      <x:c r="B29" s="820" t="str">
        <x:v>咒印·血解</x:v>
      </x:c>
      <x:c r="C29" s="820" t="str">
        <x:v>失去3点生命；获得2点能量。</x:v>
      </x:c>
      <x:c r="D29" s="820" t="str">
        <x:v>否</x:v>
      </x:c>
      <x:c r="E29" s="820" t="str">
        <x:v>无</x:v>
      </x:c>
      <x:c r="F29" s="820" t="str">
        <x:v>本牌不得开启、延长或强化敌人/场景的写轮眼解析。阶段4角色自身红眼常驻属于形态表现，不代表本牌触发易伤解析。</x:v>
      </x:c>
      <x:c r="G29" s="820" t="str">
        <x:v>通过</x:v>
      </x:c>
      <x:c r="H29" s="820" t="str">
        <x:v>通过</x:v>
      </x:c>
      <x:c r="I29" s="1643" t="str">
        <x:v>通过</x:v>
      </x:c>
    </x:row>
    <x:row r="30" ht="42" customHeight="1">
      <x:c r="A30" s="1631" t="str">
        <x:v>Bludgeon</x:v>
      </x:c>
      <x:c r="B30" s="820" t="str">
        <x:v>千鸟真枪</x:v>
      </x:c>
      <x:c r="C30" s="820" t="str">
        <x:v>造成32点伤害。</x:v>
      </x:c>
      <x:c r="D30" s="820" t="str">
        <x:v>否</x:v>
      </x:c>
      <x:c r="E30" s="820" t="str">
        <x:v>无</x:v>
      </x:c>
      <x:c r="F30" s="820" t="str">
        <x:v>本牌不得开启、延长或强化敌人/场景的写轮眼解析。阶段4角色自身红眼常驻属于形态表现，不代表本牌触发易伤解析。</x:v>
      </x:c>
      <x:c r="G30" s="820" t="str">
        <x:v>通过</x:v>
      </x:c>
      <x:c r="H30" s="820" t="str">
        <x:v>通过</x:v>
      </x:c>
      <x:c r="I30" s="1643" t="str">
        <x:v>通过</x:v>
      </x:c>
    </x:row>
    <x:row r="31" ht="42" customHeight="1">
      <x:c r="A31" s="1631" t="str">
        <x:v>Bully</x:v>
      </x:c>
      <x:c r="B31" s="820" t="str">
        <x:v>瞬·追隙</x:v>
      </x:c>
      <x:c r="C31" s="820" t="str">
        <x:v>造成4点伤害；目标每有1层易伤，额外造成2点伤害。</x:v>
      </x:c>
      <x:c r="D31" s="820" t="str">
        <x:v>是</x:v>
      </x:c>
      <x:c r="E31" s="820" t="str">
        <x:v>利用易伤｜条件开启/维持</x:v>
      </x:c>
      <x:c r="F31" s="820" t="str">
        <x:v>目标已有易伤时开启或维持写轮眼解析，并按易伤层数增加弱点标记密度；目标无易伤时使用普通高速攻击版本。</x:v>
      </x:c>
      <x:c r="G31" s="820" t="str">
        <x:v>通过</x:v>
      </x:c>
      <x:c r="H31" s="820" t="str">
        <x:v>通过</x:v>
      </x:c>
      <x:c r="I31" s="1643" t="str">
        <x:v>通过</x:v>
      </x:c>
    </x:row>
    <x:row r="32" ht="42" customHeight="1">
      <x:c r="A32" s="1631" t="str">
        <x:v>Burning Pact</x:v>
      </x:c>
      <x:c r="B32" s="820" t="str">
        <x:v>咒印·献契</x:v>
      </x:c>
      <x:c r="C32" s="820" t="str">
        <x:v>消耗手牌中的1张牌；抽2张牌。</x:v>
      </x:c>
      <x:c r="D32" s="820" t="str">
        <x:v>否</x:v>
      </x:c>
      <x:c r="E32" s="820" t="str">
        <x:v>无</x:v>
      </x:c>
      <x:c r="F32" s="820" t="str">
        <x:v>本牌不得开启、延长或强化敌人/场景的写轮眼解析。阶段4角色自身红眼常驻属于形态表现，不代表本牌触发易伤解析。</x:v>
      </x:c>
      <x:c r="G32" s="820" t="str">
        <x:v>通过</x:v>
      </x:c>
      <x:c r="H32" s="820" t="str">
        <x:v>通过</x:v>
      </x:c>
      <x:c r="I32" s="1643" t="str">
        <x:v>通过</x:v>
      </x:c>
    </x:row>
    <x:row r="33" ht="42" customHeight="1">
      <x:c r="A33" s="1631" t="str">
        <x:v>Colossus</x:v>
      </x:c>
      <x:c r="B33" s="820" t="str">
        <x:v>写轮眼·见切</x:v>
      </x:c>
      <x:c r="C33" s="820" t="str">
        <x:v>获得4点格挡；本回合受到处于易伤状态敌人的伤害降低50%。</x:v>
      </x:c>
      <x:c r="D33" s="820" t="str">
        <x:v>是</x:v>
      </x:c>
      <x:c r="E33" s="820" t="str">
        <x:v>针对易伤防御｜条件开启/维持</x:v>
      </x:c>
      <x:c r="F33" s="820" t="str">
        <x:v>仅当处于易伤状态的敌人攻击佐助时显示动作预判和受流路线；其他敌人的攻击不得触发写轮眼解析。</x:v>
      </x:c>
      <x:c r="G33" s="820" t="str">
        <x:v>通过</x:v>
      </x:c>
      <x:c r="H33" s="820" t="str">
        <x:v>通过</x:v>
      </x:c>
      <x:c r="I33" s="1643" t="str">
        <x:v>通过</x:v>
      </x:c>
    </x:row>
    <x:row r="34" ht="42" customHeight="1">
      <x:c r="A34" s="1631" t="str">
        <x:v>Cruelty</x:v>
      </x:c>
      <x:c r="B34" s="820" t="str">
        <x:v>写轮眼·死角解析</x:v>
      </x:c>
      <x:c r="C34" s="820" t="str">
        <x:v>处于易伤状态的敌人额外受到25%伤害。</x:v>
      </x:c>
      <x:c r="D34" s="820" t="str">
        <x:v>是</x:v>
      </x:c>
      <x:c r="E34" s="820" t="str">
        <x:v>易伤全局增幅｜持续解析</x:v>
      </x:c>
      <x:c r="F34" s="820" t="str">
        <x:v>场上存在易伤敌人时维持写轮眼解析；每个易伤目标分别显示死角标记。最后一个易伤消失后关闭场景解析。</x:v>
      </x:c>
      <x:c r="G34" s="820" t="str">
        <x:v>通过</x:v>
      </x:c>
      <x:c r="H34" s="820" t="str">
        <x:v>通过</x:v>
      </x:c>
      <x:c r="I34" s="1643" t="str">
        <x:v>通过</x:v>
      </x:c>
    </x:row>
    <x:row r="35" ht="42" customHeight="1">
      <x:c r="A35" s="1631" t="str">
        <x:v>Dismantle</x:v>
      </x:c>
      <x:c r="B35" s="820" t="str">
        <x:v>草薙剑·破绽二连斩</x:v>
      </x:c>
      <x:c r="C35" s="820" t="str">
        <x:v>造成8点伤害；若目标处于易伤，则攻击2次。</x:v>
      </x:c>
      <x:c r="D35" s="820" t="str">
        <x:v>是</x:v>
      </x:c>
      <x:c r="E35" s="820" t="str">
        <x:v>利用易伤｜条件开启/维持</x:v>
      </x:c>
      <x:c r="F35" s="820" t="str">
        <x:v>目标易伤时显示第一刀拆架势、第二刀沿弱点线追击；目标无易伤时只播放单次普通斩击。</x:v>
      </x:c>
      <x:c r="G35" s="820" t="str">
        <x:v>通过</x:v>
      </x:c>
      <x:c r="H35" s="820" t="str">
        <x:v>通过</x:v>
      </x:c>
      <x:c r="I35" s="1643" t="str">
        <x:v>通过</x:v>
      </x:c>
    </x:row>
    <x:row r="36" ht="42" customHeight="1">
      <x:c r="A36" s="1631" t="str">
        <x:v>Drum of Battle</x:v>
      </x:c>
      <x:c r="B36" s="820" t="str">
        <x:v>雷光剑化·忍具阵</x:v>
      </x:c>
      <x:c r="C36" s="820" t="str">
        <x:v>抽2张牌；此牌被消耗时获得2点能量。</x:v>
      </x:c>
      <x:c r="D36" s="820" t="str">
        <x:v>否</x:v>
      </x:c>
      <x:c r="E36" s="820" t="str">
        <x:v>无</x:v>
      </x:c>
      <x:c r="F36" s="820" t="str">
        <x:v>本牌不得开启、延长或强化敌人/场景的写轮眼解析。阶段4角色自身红眼常驻属于形态表现，不代表本牌触发易伤解析。</x:v>
      </x:c>
      <x:c r="G36" s="820" t="str">
        <x:v>通过</x:v>
      </x:c>
      <x:c r="H36" s="820" t="str">
        <x:v>通过</x:v>
      </x:c>
      <x:c r="I36" s="1643" t="str">
        <x:v>通过</x:v>
      </x:c>
    </x:row>
    <x:row r="37" ht="42" customHeight="1">
      <x:c r="A37" s="1631" t="str">
        <x:v>Evil Eye</x:v>
      </x:c>
      <x:c r="B37" s="820" t="str">
        <x:v>大蛇丸流·二重蜕皮</x:v>
      </x:c>
      <x:c r="C37" s="820" t="str">
        <x:v>获得8点格挡；若本回合已消耗过牌，再获得8点格挡。</x:v>
      </x:c>
      <x:c r="D37" s="820" t="str">
        <x:v>否</x:v>
      </x:c>
      <x:c r="E37" s="820" t="str">
        <x:v>无</x:v>
      </x:c>
      <x:c r="F37" s="820" t="str">
        <x:v>本牌不得开启、延长或强化敌人/场景的写轮眼解析。阶段4角色自身红眼常驻属于形态表现，不代表本牌触发易伤解析。</x:v>
      </x:c>
      <x:c r="G37" s="820" t="str">
        <x:v>通过</x:v>
      </x:c>
      <x:c r="H37" s="820" t="str">
        <x:v>通过</x:v>
      </x:c>
      <x:c r="I37" s="1643" t="str">
        <x:v>通过</x:v>
      </x:c>
    </x:row>
    <x:row r="38" ht="42" customHeight="1">
      <x:c r="A38" s="1631" t="str">
        <x:v>Expect a Fight</x:v>
      </x:c>
      <x:c r="B38" s="820" t="str">
        <x:v>千鸟刀·连击准备</x:v>
      </x:c>
      <x:c r="C38" s="820" t="str">
        <x:v>手牌中每有1张攻击牌，获得1点能量。</x:v>
      </x:c>
      <x:c r="D38" s="820" t="str">
        <x:v>否</x:v>
      </x:c>
      <x:c r="E38" s="820" t="str">
        <x:v>无</x:v>
      </x:c>
      <x:c r="F38" s="820" t="str">
        <x:v>本牌不得开启、延长或强化敌人/场景的写轮眼解析。阶段4角色自身红眼常驻属于形态表现，不代表本牌触发易伤解析。</x:v>
      </x:c>
      <x:c r="G38" s="820" t="str">
        <x:v>通过</x:v>
      </x:c>
      <x:c r="H38" s="820" t="str">
        <x:v>通过</x:v>
      </x:c>
      <x:c r="I38" s="1643" t="str">
        <x:v>通过</x:v>
      </x:c>
    </x:row>
    <x:row r="39" ht="42" customHeight="1">
      <x:c r="A39" s="1631" t="str">
        <x:v>Feel No Pain</x:v>
      </x:c>
      <x:c r="B39" s="820" t="str">
        <x:v>咒印·痛觉遮断</x:v>
      </x:c>
      <x:c r="C39" s="820" t="str">
        <x:v>每当一张牌被消耗，获得3点格挡。</x:v>
      </x:c>
      <x:c r="D39" s="820" t="str">
        <x:v>否</x:v>
      </x:c>
      <x:c r="E39" s="820" t="str">
        <x:v>无</x:v>
      </x:c>
      <x:c r="F39" s="820" t="str">
        <x:v>本牌不得开启、延长或强化敌人/场景的写轮眼解析。阶段4角色自身红眼常驻属于形态表现，不代表本牌触发易伤解析。</x:v>
      </x:c>
      <x:c r="G39" s="820" t="str">
        <x:v>通过</x:v>
      </x:c>
      <x:c r="H39" s="820" t="str">
        <x:v>通过</x:v>
      </x:c>
      <x:c r="I39" s="1643" t="str">
        <x:v>通过</x:v>
      </x:c>
    </x:row>
    <x:row r="40" ht="42" customHeight="1">
      <x:c r="A40" s="1631" t="str">
        <x:v>Fight Me!</x:v>
      </x:c>
      <x:c r="B40" s="820" t="str">
        <x:v>雷光狮子连弹·邀战</x:v>
      </x:c>
      <x:c r="C40" s="820" t="str">
        <x:v>造成5点伤害2次；获得3点力量；敌人获得1点力量。</x:v>
      </x:c>
      <x:c r="D40" s="820" t="str">
        <x:v>否</x:v>
      </x:c>
      <x:c r="E40" s="820" t="str">
        <x:v>无</x:v>
      </x:c>
      <x:c r="F40" s="820" t="str">
        <x:v>本牌不得开启、延长或强化敌人/场景的写轮眼解析。阶段4角色自身红眼常驻属于形态表现，不代表本牌触发易伤解析。</x:v>
      </x:c>
      <x:c r="G40" s="820" t="str">
        <x:v>通过</x:v>
      </x:c>
      <x:c r="H40" s="820" t="str">
        <x:v>通过</x:v>
      </x:c>
      <x:c r="I40" s="1643" t="str">
        <x:v>通过</x:v>
      </x:c>
    </x:row>
    <x:row r="41" ht="42" customHeight="1">
      <x:c r="A41" s="1631" t="str">
        <x:v>Flame Barrier</x:v>
      </x:c>
      <x:c r="B41" s="820" t="str">
        <x:v>火遁·豪火球·返炎</x:v>
      </x:c>
      <x:c r="C41" s="820" t="str">
        <x:v>获得12点格挡；本回合每次被攻击时，对攻击者造成4点伤害。</x:v>
      </x:c>
      <x:c r="D41" s="820" t="str">
        <x:v>否</x:v>
      </x:c>
      <x:c r="E41" s="820" t="str">
        <x:v>无</x:v>
      </x:c>
      <x:c r="F41" s="820" t="str">
        <x:v>本牌不得开启、延长或强化敌人/场景的写轮眼解析。阶段4角色自身红眼常驻属于形态表现，不代表本牌触发易伤解析。</x:v>
      </x:c>
      <x:c r="G41" s="820" t="str">
        <x:v>通过</x:v>
      </x:c>
      <x:c r="H41" s="820" t="str">
        <x:v>通过</x:v>
      </x:c>
      <x:c r="I41" s="1643" t="str">
        <x:v>通过</x:v>
      </x:c>
    </x:row>
    <x:row r="42" ht="42" customHeight="1">
      <x:c r="A42" s="1631" t="str">
        <x:v>Forgotten Ritual</x:v>
      </x:c>
      <x:c r="B42" s="820" t="str">
        <x:v>咒印·解封仪式</x:v>
      </x:c>
      <x:c r="C42" s="820" t="str">
        <x:v>若本回合已消耗过牌，获得3点能量；消耗。</x:v>
      </x:c>
      <x:c r="D42" s="820" t="str">
        <x:v>否</x:v>
      </x:c>
      <x:c r="E42" s="820" t="str">
        <x:v>无</x:v>
      </x:c>
      <x:c r="F42" s="820" t="str">
        <x:v>本牌不得开启、延长或强化敌人/场景的写轮眼解析。阶段4角色自身红眼常驻属于形态表现，不代表本牌触发易伤解析。</x:v>
      </x:c>
      <x:c r="G42" s="820" t="str">
        <x:v>通过</x:v>
      </x:c>
      <x:c r="H42" s="820" t="str">
        <x:v>通过</x:v>
      </x:c>
      <x:c r="I42" s="1643" t="str">
        <x:v>通过</x:v>
      </x:c>
    </x:row>
    <x:row r="43" ht="42" customHeight="1">
      <x:c r="A43" s="1631" t="str">
        <x:v>Hemokinesis</x:v>
      </x:c>
      <x:c r="B43" s="820" t="str">
        <x:v>千鸟·血祭</x:v>
      </x:c>
      <x:c r="C43" s="820" t="str">
        <x:v>失去2点生命；造成15点伤害。</x:v>
      </x:c>
      <x:c r="D43" s="820" t="str">
        <x:v>否</x:v>
      </x:c>
      <x:c r="E43" s="820" t="str">
        <x:v>无</x:v>
      </x:c>
      <x:c r="F43" s="820" t="str">
        <x:v>本牌不得开启、延长或强化敌人/场景的写轮眼解析。阶段4角色自身红眼常驻属于形态表现，不代表本牌触发易伤解析。</x:v>
      </x:c>
      <x:c r="G43" s="820" t="str">
        <x:v>通过</x:v>
      </x:c>
      <x:c r="H43" s="820" t="str">
        <x:v>通过</x:v>
      </x:c>
      <x:c r="I43" s="1643" t="str">
        <x:v>通过</x:v>
      </x:c>
    </x:row>
    <x:row r="44" ht="42" customHeight="1">
      <x:c r="A44" s="1631" t="str">
        <x:v>Howl from Beyond</x:v>
      </x:c>
      <x:c r="B44" s="820" t="str">
        <x:v>潜影蛇手·蛇群再袭</x:v>
      </x:c>
      <x:c r="C44" s="820" t="str">
        <x:v>对所有敌人造成18点伤害；若回合结束时位于消耗堆，则将其打出。</x:v>
      </x:c>
      <x:c r="D44" s="820" t="str">
        <x:v>否</x:v>
      </x:c>
      <x:c r="E44" s="820" t="str">
        <x:v>无</x:v>
      </x:c>
      <x:c r="F44" s="820" t="str">
        <x:v>本牌不得开启、延长或强化敌人/场景的写轮眼解析。阶段4角色自身红眼常驻属于形态表现，不代表本牌触发易伤解析。</x:v>
      </x:c>
      <x:c r="G44" s="820" t="str">
        <x:v>通过</x:v>
      </x:c>
      <x:c r="H44" s="820" t="str">
        <x:v>通过</x:v>
      </x:c>
      <x:c r="I44" s="1643" t="str">
        <x:v>通过</x:v>
      </x:c>
    </x:row>
    <x:row r="45" ht="42" customHeight="1">
      <x:c r="A45" s="1631" t="str">
        <x:v>Infernal Blade</x:v>
      </x:c>
      <x:c r="B45" s="820" t="str">
        <x:v>通灵·雷光剑化·瞬装</x:v>
      </x:c>
      <x:c r="C45" s="820" t="str">
        <x:v>将1张随机攻击牌加入手牌，本回合可免费打出；消耗。</x:v>
      </x:c>
      <x:c r="D45" s="820" t="str">
        <x:v>否</x:v>
      </x:c>
      <x:c r="E45" s="820" t="str">
        <x:v>无</x:v>
      </x:c>
      <x:c r="F45" s="820" t="str">
        <x:v>本牌不得开启、延长或强化敌人/场景的写轮眼解析。阶段4角色自身红眼常驻属于形态表现，不代表本牌触发易伤解析。</x:v>
      </x:c>
      <x:c r="G45" s="820" t="str">
        <x:v>通过</x:v>
      </x:c>
      <x:c r="H45" s="820" t="str">
        <x:v>通过</x:v>
      </x:c>
      <x:c r="I45" s="1643" t="str">
        <x:v>通过</x:v>
      </x:c>
    </x:row>
    <x:row r="46" ht="42" customHeight="1">
      <x:c r="A46" s="1631" t="str">
        <x:v>Inferno</x:v>
      </x:c>
      <x:c r="B46" s="820" t="str">
        <x:v>火遁·豪龙火之术</x:v>
      </x:c>
      <x:c r="C46" s="820" t="str">
        <x:v>每回合开始失去1点生命；每当本回合失去生命，对所有敌人造成6点伤害。</x:v>
      </x:c>
      <x:c r="D46" s="820" t="str">
        <x:v>否</x:v>
      </x:c>
      <x:c r="E46" s="820" t="str">
        <x:v>无</x:v>
      </x:c>
      <x:c r="F46" s="820" t="str">
        <x:v>本牌不得开启、延长或强化敌人/场景的写轮眼解析。阶段4角色自身红眼常驻属于形态表现，不代表本牌触发易伤解析。</x:v>
      </x:c>
      <x:c r="G46" s="820" t="str">
        <x:v>通过</x:v>
      </x:c>
      <x:c r="H46" s="820" t="str">
        <x:v>通过</x:v>
      </x:c>
      <x:c r="I46" s="1643" t="str">
        <x:v>通过</x:v>
      </x:c>
    </x:row>
    <x:row r="47" ht="42" customHeight="1">
      <x:c r="A47" s="1631" t="str">
        <x:v>Inflame</x:v>
      </x:c>
      <x:c r="B47" s="820" t="str">
        <x:v>火遁·火炎增幅</x:v>
      </x:c>
      <x:c r="C47" s="820" t="str">
        <x:v>获得2点力量。</x:v>
      </x:c>
      <x:c r="D47" s="820" t="str">
        <x:v>否</x:v>
      </x:c>
      <x:c r="E47" s="820" t="str">
        <x:v>无</x:v>
      </x:c>
      <x:c r="F47" s="820" t="str">
        <x:v>本牌不得开启、延长或强化敌人/场景的写轮眼解析。阶段4角色自身红眼常驻属于形态表现，不代表本牌触发易伤解析。</x:v>
      </x:c>
      <x:c r="G47" s="820" t="str">
        <x:v>通过</x:v>
      </x:c>
      <x:c r="H47" s="820" t="str">
        <x:v>通过</x:v>
      </x:c>
      <x:c r="I47" s="1643" t="str">
        <x:v>通过</x:v>
      </x:c>
    </x:row>
    <x:row r="48" ht="42" customHeight="1">
      <x:c r="A48" s="1631" t="str">
        <x:v>Juggling</x:v>
      </x:c>
      <x:c r="B48" s="820" t="str">
        <x:v>操手里剑·三式连携</x:v>
      </x:c>
      <x:c r="C48" s="820" t="str">
        <x:v>每回合打出的第3张攻击牌，向手牌加入其1张复制。</x:v>
      </x:c>
      <x:c r="D48" s="820" t="str">
        <x:v>否</x:v>
      </x:c>
      <x:c r="E48" s="820" t="str">
        <x:v>无</x:v>
      </x:c>
      <x:c r="F48" s="820" t="str">
        <x:v>本牌不得开启、延长或强化敌人/场景的写轮眼解析。阶段4角色自身红眼常驻属于形态表现，不代表本牌触发易伤解析。</x:v>
      </x:c>
      <x:c r="G48" s="820" t="str">
        <x:v>通过</x:v>
      </x:c>
      <x:c r="H48" s="820" t="str">
        <x:v>通过</x:v>
      </x:c>
      <x:c r="I48" s="1643" t="str">
        <x:v>通过</x:v>
      </x:c>
    </x:row>
    <x:row r="49" ht="42" customHeight="1">
      <x:c r="A49" s="1631" t="str">
        <x:v>Pillage</x:v>
      </x:c>
      <x:c r="B49" s="820" t="str">
        <x:v>操手里剑·牵制换势</x:v>
      </x:c>
      <x:c r="C49" s="820" t="str">
        <x:v>造成6点伤害；持续抽牌，直到抽到1张非攻击牌。</x:v>
      </x:c>
      <x:c r="D49" s="820" t="str">
        <x:v>否</x:v>
      </x:c>
      <x:c r="E49" s="820" t="str">
        <x:v>无</x:v>
      </x:c>
      <x:c r="F49" s="820" t="str">
        <x:v>本牌不得开启、延长或强化敌人/场景的写轮眼解析。阶段4角色自身红眼常驻属于形态表现，不代表本牌触发易伤解析。</x:v>
      </x:c>
      <x:c r="G49" s="820" t="str">
        <x:v>通过</x:v>
      </x:c>
      <x:c r="H49" s="820" t="str">
        <x:v>通过</x:v>
      </x:c>
      <x:c r="I49" s="1643" t="str">
        <x:v>通过</x:v>
      </x:c>
    </x:row>
    <x:row r="50" ht="42" customHeight="1">
      <x:c r="A50" s="1631" t="str">
        <x:v>Rage</x:v>
      </x:c>
      <x:c r="B50" s="820" t="str">
        <x:v>千鸟流·雷衣</x:v>
      </x:c>
      <x:c r="C50" s="820" t="str">
        <x:v>本回合每当打出攻击牌，获得3点格挡。</x:v>
      </x:c>
      <x:c r="D50" s="820" t="str">
        <x:v>否</x:v>
      </x:c>
      <x:c r="E50" s="820" t="str">
        <x:v>无</x:v>
      </x:c>
      <x:c r="F50" s="820" t="str">
        <x:v>本牌不得开启、延长或强化敌人/场景的写轮眼解析。阶段4角色自身红眼常驻属于形态表现，不代表本牌触发易伤解析。</x:v>
      </x:c>
      <x:c r="G50" s="820" t="str">
        <x:v>通过</x:v>
      </x:c>
      <x:c r="H50" s="820" t="str">
        <x:v>通过</x:v>
      </x:c>
      <x:c r="I50" s="1643" t="str">
        <x:v>通过</x:v>
      </x:c>
    </x:row>
    <x:row r="51" ht="42" customHeight="1">
      <x:c r="A51" s="1631" t="str">
        <x:v>Rampage</x:v>
      </x:c>
      <x:c r="B51" s="820" t="str">
        <x:v>草薙剑·千鸟刀·连战</x:v>
      </x:c>
      <x:c r="C51" s="820" t="str">
        <x:v>造成9点伤害；本场战斗中此牌伤害永久增加5点。</x:v>
      </x:c>
      <x:c r="D51" s="820" t="str">
        <x:v>否</x:v>
      </x:c>
      <x:c r="E51" s="820" t="str">
        <x:v>无</x:v>
      </x:c>
      <x:c r="F51" s="820" t="str">
        <x:v>本牌不得开启、延长或强化敌人/场景的写轮眼解析。阶段4角色自身红眼常驻属于形态表现，不代表本牌触发易伤解析。</x:v>
      </x:c>
      <x:c r="G51" s="820" t="str">
        <x:v>通过</x:v>
      </x:c>
      <x:c r="H51" s="820" t="str">
        <x:v>通过</x:v>
      </x:c>
      <x:c r="I51" s="1643" t="str">
        <x:v>通过</x:v>
      </x:c>
    </x:row>
    <x:row r="52" ht="42" customHeight="1">
      <x:c r="A52" s="1631" t="str">
        <x:v>Rupture</x:v>
      </x:c>
      <x:c r="B52" s="820" t="str">
        <x:v>咒印·伤势增幅</x:v>
      </x:c>
      <x:c r="C52" s="820" t="str">
        <x:v>每当在自己的回合失去生命，获得1点力量。</x:v>
      </x:c>
      <x:c r="D52" s="820" t="str">
        <x:v>否</x:v>
      </x:c>
      <x:c r="E52" s="820" t="str">
        <x:v>无</x:v>
      </x:c>
      <x:c r="F52" s="820" t="str">
        <x:v>本牌不得开启、延长或强化敌人/场景的写轮眼解析。阶段4角色自身红眼常驻属于形态表现，不代表本牌触发易伤解析。</x:v>
      </x:c>
      <x:c r="G52" s="820" t="str">
        <x:v>通过</x:v>
      </x:c>
      <x:c r="H52" s="820" t="str">
        <x:v>通过</x:v>
      </x:c>
      <x:c r="I52" s="1643" t="str">
        <x:v>通过</x:v>
      </x:c>
    </x:row>
    <x:row r="53" ht="42" customHeight="1">
      <x:c r="A53" s="1631" t="str">
        <x:v>Second Wind</x:v>
      </x:c>
      <x:c r="B53" s="820" t="str">
        <x:v>大蛇丸流替身术</x:v>
      </x:c>
      <x:c r="C53" s="820" t="str">
        <x:v>消耗手牌中所有非攻击牌；每张获得5点格挡。</x:v>
      </x:c>
      <x:c r="D53" s="820" t="str">
        <x:v>否</x:v>
      </x:c>
      <x:c r="E53" s="820" t="str">
        <x:v>无</x:v>
      </x:c>
      <x:c r="F53" s="820" t="str">
        <x:v>本牌不得开启、延长或强化敌人/场景的写轮眼解析。阶段4角色自身红眼常驻属于形态表现，不代表本牌触发易伤解析。</x:v>
      </x:c>
      <x:c r="G53" s="820" t="str">
        <x:v>通过</x:v>
      </x:c>
      <x:c r="H53" s="820" t="str">
        <x:v>通过</x:v>
      </x:c>
      <x:c r="I53" s="1643" t="str">
        <x:v>通过</x:v>
      </x:c>
    </x:row>
    <x:row r="54" ht="42" customHeight="1">
      <x:c r="A54" s="1631" t="str">
        <x:v>Spite</x:v>
      </x:c>
      <x:c r="B54" s="820" t="str">
        <x:v>咒印·怨恨追击</x:v>
      </x:c>
      <x:c r="C54" s="820" t="str">
        <x:v>造成5点伤害；若本回合已失去生命，则攻击2次。</x:v>
      </x:c>
      <x:c r="D54" s="820" t="str">
        <x:v>否</x:v>
      </x:c>
      <x:c r="E54" s="820" t="str">
        <x:v>无</x:v>
      </x:c>
      <x:c r="F54" s="820" t="str">
        <x:v>本牌不得开启、延长或强化敌人/场景的写轮眼解析。阶段4角色自身红眼常驻属于形态表现，不代表本牌触发易伤解析。</x:v>
      </x:c>
      <x:c r="G54" s="820" t="str">
        <x:v>通过</x:v>
      </x:c>
      <x:c r="H54" s="820" t="str">
        <x:v>通过</x:v>
      </x:c>
      <x:c r="I54" s="1643" t="str">
        <x:v>通过</x:v>
      </x:c>
    </x:row>
    <x:row r="55" ht="42" customHeight="1">
      <x:c r="A55" s="1631" t="str">
        <x:v>Stampede</x:v>
      </x:c>
      <x:c r="B55" s="820" t="str">
        <x:v>咒印二·飞翔</x:v>
      </x:c>
      <x:c r="C55" s="820" t="str">
        <x:v>回合结束时，随机打出手牌中的1张攻击牌并以随机敌人为目标。</x:v>
      </x:c>
      <x:c r="D55" s="820" t="str">
        <x:v>否</x:v>
      </x:c>
      <x:c r="E55" s="820" t="str">
        <x:v>无</x:v>
      </x:c>
      <x:c r="F55" s="820" t="str">
        <x:v>本牌不得开启、延长或强化敌人/场景的写轮眼解析。阶段4角色自身红眼常驻属于形态表现，不代表本牌触发易伤解析。</x:v>
      </x:c>
      <x:c r="G55" s="820" t="str">
        <x:v>通过</x:v>
      </x:c>
      <x:c r="H55" s="820" t="str">
        <x:v>通过</x:v>
      </x:c>
      <x:c r="I55" s="1643" t="str">
        <x:v>通过</x:v>
      </x:c>
    </x:row>
    <x:row r="56" ht="42" customHeight="1">
      <x:c r="A56" s="1631" t="str">
        <x:v>Stomp</x:v>
      </x:c>
      <x:c r="B56" s="820" t="str">
        <x:v>千鸟·落雷·震地</x:v>
      </x:c>
      <x:c r="C56" s="820" t="str">
        <x:v>对所有敌人造成12点伤害；本回合每打出1张攻击牌，费用降低1。</x:v>
      </x:c>
      <x:c r="D56" s="820" t="str">
        <x:v>否</x:v>
      </x:c>
      <x:c r="E56" s="820" t="str">
        <x:v>无</x:v>
      </x:c>
      <x:c r="F56" s="820" t="str">
        <x:v>本牌不得开启、延长或强化敌人/场景的写轮眼解析。阶段4角色自身红眼常驻属于形态表现，不代表本牌触发易伤解析。</x:v>
      </x:c>
      <x:c r="G56" s="820" t="str">
        <x:v>通过</x:v>
      </x:c>
      <x:c r="H56" s="820" t="str">
        <x:v>通过</x:v>
      </x:c>
      <x:c r="I56" s="1643" t="str">
        <x:v>通过</x:v>
      </x:c>
    </x:row>
    <x:row r="57" ht="42" customHeight="1">
      <x:c r="A57" s="1631" t="str">
        <x:v>Stone Armor</x:v>
      </x:c>
      <x:c r="B57" s="820" t="str">
        <x:v>蛇蜕·硬化</x:v>
      </x:c>
      <x:c r="C57" s="820" t="str">
        <x:v>获得4层镀层。</x:v>
      </x:c>
      <x:c r="D57" s="820" t="str">
        <x:v>否</x:v>
      </x:c>
      <x:c r="E57" s="820" t="str">
        <x:v>无</x:v>
      </x:c>
      <x:c r="F57" s="820" t="str">
        <x:v>本牌不得开启、延长或强化敌人/场景的写轮眼解析。阶段4角色自身红眼常驻属于形态表现，不代表本牌触发易伤解析。</x:v>
      </x:c>
      <x:c r="G57" s="820" t="str">
        <x:v>通过</x:v>
      </x:c>
      <x:c r="H57" s="820" t="str">
        <x:v>通过</x:v>
      </x:c>
      <x:c r="I57" s="1643" t="str">
        <x:v>通过</x:v>
      </x:c>
    </x:row>
    <x:row r="58" ht="42" customHeight="1">
      <x:c r="A58" s="1631" t="str">
        <x:v>Unrelenting</x:v>
      </x:c>
      <x:c r="B58" s="820" t="str">
        <x:v>千鸟锐枪</x:v>
      </x:c>
      <x:c r="C58" s="820" t="str">
        <x:v>造成14点伤害；下一张攻击牌费用变为0。</x:v>
      </x:c>
      <x:c r="D58" s="820" t="str">
        <x:v>否</x:v>
      </x:c>
      <x:c r="E58" s="820" t="str">
        <x:v>无</x:v>
      </x:c>
      <x:c r="F58" s="820" t="str">
        <x:v>本牌不得开启、延长或强化敌人/场景的写轮眼解析。阶段4角色自身红眼常驻属于形态表现，不代表本牌触发易伤解析。</x:v>
      </x:c>
      <x:c r="G58" s="820" t="str">
        <x:v>通过</x:v>
      </x:c>
      <x:c r="H58" s="820" t="str">
        <x:v>通过</x:v>
      </x:c>
      <x:c r="I58" s="1643" t="str">
        <x:v>通过</x:v>
      </x:c>
    </x:row>
    <x:row r="59" ht="42" customHeight="1">
      <x:c r="A59" s="1631" t="str">
        <x:v>Uppercut</x:v>
      </x:c>
      <x:c r="B59" s="820" t="str">
        <x:v>雷光狮子连弹·破势</x:v>
      </x:c>
      <x:c r="C59" s="820" t="str">
        <x:v>造成13点伤害；施加1层虚弱和1层易伤。</x:v>
      </x:c>
      <x:c r="D59" s="820" t="str">
        <x:v>是</x:v>
      </x:c>
      <x:c r="E59" s="820" t="str">
        <x:v>施加易伤｜开启解析</x:v>
      </x:c>
      <x:c r="F59" s="820" t="str">
        <x:v>升击命中并施加易伤时开启写轮眼解析；虚弱只作为攻击轨迹被压制的附加表现，核心开眼条件仍是易伤。</x:v>
      </x:c>
      <x:c r="G59" s="820" t="str">
        <x:v>通过</x:v>
      </x:c>
      <x:c r="H59" s="820" t="str">
        <x:v>通过</x:v>
      </x:c>
      <x:c r="I59" s="1643" t="str">
        <x:v>通过</x:v>
      </x:c>
    </x:row>
    <x:row r="60" ht="42" customHeight="1">
      <x:c r="A60" s="1631" t="str">
        <x:v>Vicious</x:v>
      </x:c>
      <x:c r="B60" s="820" t="str">
        <x:v>写轮眼·弱点追读</x:v>
      </x:c>
      <x:c r="C60" s="820" t="str">
        <x:v>每当施加易伤，抽1张牌。</x:v>
      </x:c>
      <x:c r="D60" s="820" t="str">
        <x:v>是</x:v>
      </x:c>
      <x:c r="E60" s="820" t="str">
        <x:v>施加易伤触发｜解析反馈</x:v>
      </x:c>
      <x:c r="F60" s="820" t="str">
        <x:v>任何敌人新获得易伤时触发一次写轮眼信息回收脉冲，并用抽牌表现获得新的进攻路线；没有易伤事件时不触发。</x:v>
      </x:c>
      <x:c r="G60" s="820" t="str">
        <x:v>通过</x:v>
      </x:c>
      <x:c r="H60" s="820" t="str">
        <x:v>通过</x:v>
      </x:c>
      <x:c r="I60" s="1643" t="str">
        <x:v>通过</x:v>
      </x:c>
    </x:row>
    <x:row r="61" ht="42" customHeight="1">
      <x:c r="A61" s="1631" t="str">
        <x:v>Whirlwind</x:v>
      </x:c>
      <x:c r="B61" s="820" t="str">
        <x:v>千鸟流·剑刃风暴</x:v>
      </x:c>
      <x:c r="C61" s="820" t="str">
        <x:v>消耗全部能量；每点能量对所有敌人造成5点伤害。</x:v>
      </x:c>
      <x:c r="D61" s="820" t="str">
        <x:v>否</x:v>
      </x:c>
      <x:c r="E61" s="820" t="str">
        <x:v>无</x:v>
      </x:c>
      <x:c r="F61" s="820" t="str">
        <x:v>本牌不得开启、延长或强化敌人/场景的写轮眼解析。阶段4角色自身红眼常驻属于形态表现，不代表本牌触发易伤解析。</x:v>
      </x:c>
      <x:c r="G61" s="820" t="str">
        <x:v>通过</x:v>
      </x:c>
      <x:c r="H61" s="820" t="str">
        <x:v>通过</x:v>
      </x:c>
      <x:c r="I61" s="1643" t="str">
        <x:v>通过</x:v>
      </x:c>
    </x:row>
    <x:row r="62" ht="42" customHeight="1">
      <x:c r="A62" s="1631" t="str">
        <x:v>Aggression</x:v>
      </x:c>
      <x:c r="B62" s="820" t="str">
        <x:v>千鸟刀·战法重铸</x:v>
      </x:c>
      <x:c r="C62" s="820" t="str">
        <x:v>每回合开始时，将弃牌堆中的1张随机攻击牌加入手牌并升级。</x:v>
      </x:c>
      <x:c r="D62" s="820" t="str">
        <x:v>否</x:v>
      </x:c>
      <x:c r="E62" s="820" t="str">
        <x:v>无</x:v>
      </x:c>
      <x:c r="F62" s="820" t="str">
        <x:v>本牌不得开启、延长或强化敌人/场景的写轮眼解析。阶段4角色自身红眼常驻属于形态表现，不代表本牌触发易伤解析。</x:v>
      </x:c>
      <x:c r="G62" s="820" t="str">
        <x:v>通过</x:v>
      </x:c>
      <x:c r="H62" s="820" t="str">
        <x:v>通过</x:v>
      </x:c>
      <x:c r="I62" s="1643" t="str">
        <x:v>通过</x:v>
      </x:c>
    </x:row>
    <x:row r="63" ht="42" customHeight="1">
      <x:c r="A63" s="1631" t="str">
        <x:v>Barricade</x:v>
      </x:c>
      <x:c r="B63" s="820" t="str">
        <x:v>蛇睨咒缚·防御阵</x:v>
      </x:c>
      <x:c r="C63" s="820" t="str">
        <x:v>回合开始时不再移除格挡。</x:v>
      </x:c>
      <x:c r="D63" s="820" t="str">
        <x:v>否</x:v>
      </x:c>
      <x:c r="E63" s="820" t="str">
        <x:v>无</x:v>
      </x:c>
      <x:c r="F63" s="820" t="str">
        <x:v>本牌不得开启、延长或强化敌人/场景的写轮眼解析。阶段4角色自身红眼常驻属于形态表现，不代表本牌触发易伤解析。</x:v>
      </x:c>
      <x:c r="G63" s="820" t="str">
        <x:v>通过</x:v>
      </x:c>
      <x:c r="H63" s="820" t="str">
        <x:v>通过</x:v>
      </x:c>
      <x:c r="I63" s="1643" t="str">
        <x:v>通过</x:v>
      </x:c>
    </x:row>
    <x:row r="64" ht="42" customHeight="1">
      <x:c r="A64" s="1631" t="str">
        <x:v>Brand</x:v>
      </x:c>
      <x:c r="B64" s="820" t="str">
        <x:v>天之咒印</x:v>
      </x:c>
      <x:c r="C64" s="820" t="str">
        <x:v>失去1点生命；消耗手牌中的1张牌；获得1点力量。</x:v>
      </x:c>
      <x:c r="D64" s="820" t="str">
        <x:v>否</x:v>
      </x:c>
      <x:c r="E64" s="820" t="str">
        <x:v>无</x:v>
      </x:c>
      <x:c r="F64" s="820" t="str">
        <x:v>本牌不得开启、延长或强化敌人/场景的写轮眼解析。阶段4角色自身红眼常驻属于形态表现，不代表本牌触发易伤解析。</x:v>
      </x:c>
      <x:c r="G64" s="820" t="str">
        <x:v>通过</x:v>
      </x:c>
      <x:c r="H64" s="820" t="str">
        <x:v>通过</x:v>
      </x:c>
      <x:c r="I64" s="1643" t="str">
        <x:v>通过</x:v>
      </x:c>
    </x:row>
    <x:row r="65" ht="42" customHeight="1">
      <x:c r="A65" s="1631" t="str">
        <x:v>Cascade</x:v>
      </x:c>
      <x:c r="B65" s="820" t="str">
        <x:v>咒印·连锁释放</x:v>
      </x:c>
      <x:c r="C65" s="820" t="str">
        <x:v>消耗X点能量，依次打出抽牌堆顶的X张牌。</x:v>
      </x:c>
      <x:c r="D65" s="820" t="str">
        <x:v>否</x:v>
      </x:c>
      <x:c r="E65" s="820" t="str">
        <x:v>无</x:v>
      </x:c>
      <x:c r="F65" s="820" t="str">
        <x:v>本牌不得开启、延长或强化敌人/场景的写轮眼解析。阶段4角色自身红眼常驻属于形态表现，不代表本牌触发易伤解析。</x:v>
      </x:c>
      <x:c r="G65" s="820" t="str">
        <x:v>通过</x:v>
      </x:c>
      <x:c r="H65" s="820" t="str">
        <x:v>通过</x:v>
      </x:c>
      <x:c r="I65" s="1643" t="str">
        <x:v>通过</x:v>
      </x:c>
    </x:row>
    <x:row r="66" ht="42" customHeight="1">
      <x:c r="A66" s="1631" t="str">
        <x:v>Conflagration</x:v>
      </x:c>
      <x:c r="B66" s="820" t="str">
        <x:v>火遁·凤仙火之术</x:v>
      </x:c>
      <x:c r="C66" s="820" t="str">
        <x:v>对所有敌人造成2点伤害4次。</x:v>
      </x:c>
      <x:c r="D66" s="820" t="str">
        <x:v>否</x:v>
      </x:c>
      <x:c r="E66" s="820" t="str">
        <x:v>无</x:v>
      </x:c>
      <x:c r="F66" s="820" t="str">
        <x:v>本牌不得开启、延长或强化敌人/场景的写轮眼解析。阶段4角色自身红眼常驻属于形态表现，不代表本牌触发易伤解析。</x:v>
      </x:c>
      <x:c r="G66" s="820" t="str">
        <x:v>通过</x:v>
      </x:c>
      <x:c r="H66" s="820" t="str">
        <x:v>通过</x:v>
      </x:c>
      <x:c r="I66" s="1643" t="str">
        <x:v>通过</x:v>
      </x:c>
    </x:row>
    <x:row r="67" ht="42" customHeight="1">
      <x:c r="A67" s="1631" t="str">
        <x:v>Crimson Mantle</x:v>
      </x:c>
      <x:c r="B67" s="820" t="str">
        <x:v>咒印·查克拉外衣</x:v>
      </x:c>
      <x:c r="C67" s="820" t="str">
        <x:v>每回合开始失去1点生命并获得7点格挡。</x:v>
      </x:c>
      <x:c r="D67" s="820" t="str">
        <x:v>否</x:v>
      </x:c>
      <x:c r="E67" s="820" t="str">
        <x:v>无</x:v>
      </x:c>
      <x:c r="F67" s="820" t="str">
        <x:v>本牌不得开启、延长或强化敌人/场景的写轮眼解析。阶段4角色自身红眼常驻属于形态表现，不代表本牌触发易伤解析。</x:v>
      </x:c>
      <x:c r="G67" s="820" t="str">
        <x:v>通过</x:v>
      </x:c>
      <x:c r="H67" s="820" t="str">
        <x:v>通过</x:v>
      </x:c>
      <x:c r="I67" s="1643" t="str">
        <x:v>通过</x:v>
      </x:c>
    </x:row>
    <x:row r="68" ht="42" customHeight="1">
      <x:c r="A68" s="1631" t="str">
        <x:v>Dark Embrace</x:v>
      </x:c>
      <x:c r="B68" s="820" t="str">
        <x:v>咒印·吞噬回流</x:v>
      </x:c>
      <x:c r="C68" s="820" t="str">
        <x:v>每当一张牌被消耗，抽1张牌。</x:v>
      </x:c>
      <x:c r="D68" s="820" t="str">
        <x:v>否</x:v>
      </x:c>
      <x:c r="E68" s="820" t="str">
        <x:v>无</x:v>
      </x:c>
      <x:c r="F68" s="820" t="str">
        <x:v>本牌不得开启、延长或强化敌人/场景的写轮眼解析。阶段4角色自身红眼常驻属于形态表现，不代表本牌触发易伤解析。</x:v>
      </x:c>
      <x:c r="G68" s="820" t="str">
        <x:v>通过</x:v>
      </x:c>
      <x:c r="H68" s="820" t="str">
        <x:v>通过</x:v>
      </x:c>
      <x:c r="I68" s="1643" t="str">
        <x:v>通过</x:v>
      </x:c>
    </x:row>
    <x:row r="69" ht="42" customHeight="1">
      <x:c r="A69" s="1631" t="str">
        <x:v>Demon Form</x:v>
      </x:c>
      <x:c r="B69" s="820" t="str">
        <x:v>天之咒印·状态二</x:v>
      </x:c>
      <x:c r="C69" s="820" t="str">
        <x:v>每回合开始获得3点力量。</x:v>
      </x:c>
      <x:c r="D69" s="820" t="str">
        <x:v>否</x:v>
      </x:c>
      <x:c r="E69" s="820" t="str">
        <x:v>无</x:v>
      </x:c>
      <x:c r="F69" s="820" t="str">
        <x:v>本牌不得开启、延长或强化敌人/场景的写轮眼解析。阶段4角色自身红眼常驻属于形态表现，不代表本牌触发易伤解析。</x:v>
      </x:c>
      <x:c r="G69" s="820" t="str">
        <x:v>通过</x:v>
      </x:c>
      <x:c r="H69" s="820" t="str">
        <x:v>通过</x:v>
      </x:c>
      <x:c r="I69" s="1643" t="str">
        <x:v>通过</x:v>
      </x:c>
    </x:row>
    <x:row r="70" ht="42" customHeight="1">
      <x:c r="A70" s="1631" t="str">
        <x:v>Dominate</x:v>
      </x:c>
      <x:c r="B70" s="820" t="str">
        <x:v>写轮眼·支配破绽</x:v>
      </x:c>
      <x:c r="C70" s="820" t="str">
        <x:v>施加1层易伤；目标每有1层易伤，获得1点力量；消耗。</x:v>
      </x:c>
      <x:c r="D70" s="820" t="str">
        <x:v>是</x:v>
      </x:c>
      <x:c r="E70" s="820" t="str">
        <x:v>施加并利用易伤｜开启并结算</x:v>
      </x:c>
      <x:c r="F70" s="820" t="str">
        <x:v>先在易伤生效时开启目标解析，再按目标当前易伤层数将弱点信息转化为力量表现；无易伤层数时不得显示多重弱点。</x:v>
      </x:c>
      <x:c r="G70" s="820" t="str">
        <x:v>通过</x:v>
      </x:c>
      <x:c r="H70" s="820" t="str">
        <x:v>通过</x:v>
      </x:c>
      <x:c r="I70" s="1643" t="str">
        <x:v>通过</x:v>
      </x:c>
    </x:row>
    <x:row r="71" ht="42" customHeight="1">
      <x:c r="A71" s="1631" t="str">
        <x:v>Feed</x:v>
      </x:c>
      <x:c r="B71" s="820" t="str">
        <x:v>万蛇·吞噬</x:v>
      </x:c>
      <x:c r="C71" s="820" t="str">
        <x:v>造成10点伤害；若造成致命一击，最大生命提高3；消耗。</x:v>
      </x:c>
      <x:c r="D71" s="820" t="str">
        <x:v>否</x:v>
      </x:c>
      <x:c r="E71" s="820" t="str">
        <x:v>无</x:v>
      </x:c>
      <x:c r="F71" s="820" t="str">
        <x:v>本牌不得开启、延长或强化敌人/场景的写轮眼解析。阶段4角色自身红眼常驻属于形态表现，不代表本牌触发易伤解析。</x:v>
      </x:c>
      <x:c r="G71" s="820" t="str">
        <x:v>通过</x:v>
      </x:c>
      <x:c r="H71" s="820" t="str">
        <x:v>通过</x:v>
      </x:c>
      <x:c r="I71" s="1643" t="str">
        <x:v>通过</x:v>
      </x:c>
    </x:row>
    <x:row r="72" ht="42" customHeight="1">
      <x:c r="A72" s="1631" t="str">
        <x:v>Fiend Fire</x:v>
      </x:c>
      <x:c r="B72" s="820" t="str">
        <x:v>豪龙火·咒印连弹</x:v>
      </x:c>
      <x:c r="C72" s="820" t="str">
        <x:v>消耗手牌；每成功消耗1张牌，造成7点伤害。</x:v>
      </x:c>
      <x:c r="D72" s="820" t="str">
        <x:v>否</x:v>
      </x:c>
      <x:c r="E72" s="820" t="str">
        <x:v>无</x:v>
      </x:c>
      <x:c r="F72" s="820" t="str">
        <x:v>本牌不得开启、延长或强化敌人/场景的写轮眼解析。阶段4角色自身红眼常驻属于形态表现，不代表本牌触发易伤解析。</x:v>
      </x:c>
      <x:c r="G72" s="820" t="str">
        <x:v>通过</x:v>
      </x:c>
      <x:c r="H72" s="820" t="str">
        <x:v>通过</x:v>
      </x:c>
      <x:c r="I72" s="1643" t="str">
        <x:v>通过</x:v>
      </x:c>
    </x:row>
    <x:row r="73" ht="42" customHeight="1">
      <x:c r="A73" s="1631" t="str">
        <x:v>Hellraiser</x:v>
      </x:c>
      <x:c r="B73" s="820" t="str">
        <x:v>草薙剑·千鸟刀·乱舞</x:v>
      </x:c>
      <x:c r="C73" s="820" t="str">
        <x:v>每当抽到名称含“Strike”的牌，自动对随机敌人打出。</x:v>
      </x:c>
      <x:c r="D73" s="820" t="str">
        <x:v>否</x:v>
      </x:c>
      <x:c r="E73" s="820" t="str">
        <x:v>无</x:v>
      </x:c>
      <x:c r="F73" s="820" t="str">
        <x:v>本牌不得开启、延长或强化敌人/场景的写轮眼解析。阶段4角色自身红眼常驻属于形态表现，不代表本牌触发易伤解析。</x:v>
      </x:c>
      <x:c r="G73" s="820" t="str">
        <x:v>通过</x:v>
      </x:c>
      <x:c r="H73" s="820" t="str">
        <x:v>通过</x:v>
      </x:c>
      <x:c r="I73" s="1643" t="str">
        <x:v>通过</x:v>
      </x:c>
    </x:row>
    <x:row r="74" ht="42" customHeight="1">
      <x:c r="A74" s="1631" t="str">
        <x:v>Impervious</x:v>
      </x:c>
      <x:c r="B74" s="820" t="str">
        <x:v>咒印二·双翼防御</x:v>
      </x:c>
      <x:c r="C74" s="820" t="str">
        <x:v>获得30点格挡；消耗。</x:v>
      </x:c>
      <x:c r="D74" s="820" t="str">
        <x:v>否</x:v>
      </x:c>
      <x:c r="E74" s="820" t="str">
        <x:v>无</x:v>
      </x:c>
      <x:c r="F74" s="820" t="str">
        <x:v>本牌不得开启、延长或强化敌人/场景的写轮眼解析。阶段4角色自身红眼常驻属于形态表现，不代表本牌触发易伤解析。</x:v>
      </x:c>
      <x:c r="G74" s="820" t="str">
        <x:v>通过</x:v>
      </x:c>
      <x:c r="H74" s="820" t="str">
        <x:v>通过</x:v>
      </x:c>
      <x:c r="I74" s="1643" t="str">
        <x:v>通过</x:v>
      </x:c>
    </x:row>
    <x:row r="75" ht="42" customHeight="1">
      <x:c r="A75" s="1631" t="str">
        <x:v>Juggernaut</x:v>
      </x:c>
      <x:c r="B75" s="820" t="str">
        <x:v>千鸟流·雷铠反震</x:v>
      </x:c>
      <x:c r="C75" s="820" t="str">
        <x:v>每当获得格挡，对随机敌人造成6点伤害。</x:v>
      </x:c>
      <x:c r="D75" s="820" t="str">
        <x:v>否</x:v>
      </x:c>
      <x:c r="E75" s="820" t="str">
        <x:v>无</x:v>
      </x:c>
      <x:c r="F75" s="820" t="str">
        <x:v>本牌不得开启、延长或强化敌人/场景的写轮眼解析。阶段4角色自身红眼常驻属于形态表现，不代表本牌触发易伤解析。</x:v>
      </x:c>
      <x:c r="G75" s="820" t="str">
        <x:v>通过</x:v>
      </x:c>
      <x:c r="H75" s="820" t="str">
        <x:v>通过</x:v>
      </x:c>
      <x:c r="I75" s="1643" t="str">
        <x:v>通过</x:v>
      </x:c>
    </x:row>
    <x:row r="76" ht="42" customHeight="1">
      <x:c r="A76" s="1631" t="str">
        <x:v>Mangle</x:v>
      </x:c>
      <x:c r="B76" s="820" t="str">
        <x:v>千鸟·查克拉刀</x:v>
      </x:c>
      <x:c r="C76" s="820" t="str">
        <x:v>造成15点伤害；目标本回合失去10点力量。</x:v>
      </x:c>
      <x:c r="D76" s="820" t="str">
        <x:v>否</x:v>
      </x:c>
      <x:c r="E76" s="820" t="str">
        <x:v>无</x:v>
      </x:c>
      <x:c r="F76" s="820" t="str">
        <x:v>本牌不得开启、延长或强化敌人/场景的写轮眼解析。阶段4角色自身红眼常驻属于形态表现，不代表本牌触发易伤解析。</x:v>
      </x:c>
      <x:c r="G76" s="820" t="str">
        <x:v>通过</x:v>
      </x:c>
      <x:c r="H76" s="820" t="str">
        <x:v>通过</x:v>
      </x:c>
      <x:c r="I76" s="1643" t="str">
        <x:v>通过</x:v>
      </x:c>
    </x:row>
    <x:row r="77" ht="42" customHeight="1">
      <x:c r="A77" s="1631" t="str">
        <x:v>Not Yet</x:v>
      </x:c>
      <x:c r="B77" s="820" t="str">
        <x:v>白蛇之力</x:v>
      </x:c>
      <x:c r="C77" s="820" t="str">
        <x:v>回复10点生命；消耗。</x:v>
      </x:c>
      <x:c r="D77" s="820" t="str">
        <x:v>否</x:v>
      </x:c>
      <x:c r="E77" s="820" t="str">
        <x:v>无</x:v>
      </x:c>
      <x:c r="F77" s="820" t="str">
        <x:v>本牌不得开启、延长或强化敌人/场景的写轮眼解析。阶段4角色自身红眼常驻属于形态表现，不代表本牌触发易伤解析。</x:v>
      </x:c>
      <x:c r="G77" s="820" t="str">
        <x:v>通过</x:v>
      </x:c>
      <x:c r="H77" s="820" t="str">
        <x:v>通过</x:v>
      </x:c>
      <x:c r="I77" s="1643" t="str">
        <x:v>通过</x:v>
      </x:c>
    </x:row>
    <x:row r="78" ht="42" customHeight="1">
      <x:c r="A78" s="1631" t="str">
        <x:v>Offering</x:v>
      </x:c>
      <x:c r="B78" s="820" t="str">
        <x:v>咒印·禁忌解放</x:v>
      </x:c>
      <x:c r="C78" s="820" t="str">
        <x:v>失去6点生命；获得2点能量；抽3张牌；消耗。</x:v>
      </x:c>
      <x:c r="D78" s="820" t="str">
        <x:v>否</x:v>
      </x:c>
      <x:c r="E78" s="820" t="str">
        <x:v>无</x:v>
      </x:c>
      <x:c r="F78" s="820" t="str">
        <x:v>本牌不得开启、延长或强化敌人/场景的写轮眼解析。阶段4角色自身红眼常驻属于形态表现，不代表本牌触发易伤解析。</x:v>
      </x:c>
      <x:c r="G78" s="820" t="str">
        <x:v>通过</x:v>
      </x:c>
      <x:c r="H78" s="820" t="str">
        <x:v>通过</x:v>
      </x:c>
      <x:c r="I78" s="1643" t="str">
        <x:v>通过</x:v>
      </x:c>
    </x:row>
    <x:row r="79" ht="42" customHeight="1">
      <x:c r="A79" s="1631" t="str">
        <x:v>One-Two Punch</x:v>
      </x:c>
      <x:c r="B79" s="820" t="str">
        <x:v>雷光狮子连弹·二段追击</x:v>
      </x:c>
      <x:c r="C79" s="820" t="str">
        <x:v>接下来打出的1张攻击牌额外打出1次。</x:v>
      </x:c>
      <x:c r="D79" s="820" t="str">
        <x:v>否</x:v>
      </x:c>
      <x:c r="E79" s="820" t="str">
        <x:v>无</x:v>
      </x:c>
      <x:c r="F79" s="820" t="str">
        <x:v>本牌不得开启、延长或强化敌人/场景的写轮眼解析。阶段4角色自身红眼常驻属于形态表现，不代表本牌触发易伤解析。</x:v>
      </x:c>
      <x:c r="G79" s="820" t="str">
        <x:v>通过</x:v>
      </x:c>
      <x:c r="H79" s="820" t="str">
        <x:v>通过</x:v>
      </x:c>
      <x:c r="I79" s="1643" t="str">
        <x:v>通过</x:v>
      </x:c>
    </x:row>
    <x:row r="80" ht="42" customHeight="1">
      <x:c r="A80" s="1631" t="str">
        <x:v>Pact's End</x:v>
      </x:c>
      <x:c r="B80" s="820" t="str">
        <x:v>豪龙火·雷云引动</x:v>
      </x:c>
      <x:c r="C80" s="820" t="str">
        <x:v>若消耗堆中至少有3张牌，对所有敌人造成17点伤害。</x:v>
      </x:c>
      <x:c r="D80" s="820" t="str">
        <x:v>否</x:v>
      </x:c>
      <x:c r="E80" s="820" t="str">
        <x:v>无</x:v>
      </x:c>
      <x:c r="F80" s="820" t="str">
        <x:v>本牌不得开启、延长或强化敌人/场景的写轮眼解析。阶段4角色自身红眼常驻属于形态表现，不代表本牌触发易伤解析。</x:v>
      </x:c>
      <x:c r="G80" s="820" t="str">
        <x:v>通过</x:v>
      </x:c>
      <x:c r="H80" s="820" t="str">
        <x:v>通过</x:v>
      </x:c>
      <x:c r="I80" s="1643" t="str">
        <x:v>通过</x:v>
      </x:c>
    </x:row>
    <x:row r="81" ht="42" customHeight="1">
      <x:c r="A81" s="1631" t="str">
        <x:v>Primal Force</x:v>
      </x:c>
      <x:c r="B81" s="820" t="str">
        <x:v>千鸟锐枪·查克拉压缩</x:v>
      </x:c>
      <x:c r="C81" s="820" t="str">
        <x:v>将手牌中的所有攻击牌转化为巨石。</x:v>
      </x:c>
      <x:c r="D81" s="820" t="str">
        <x:v>否</x:v>
      </x:c>
      <x:c r="E81" s="820" t="str">
        <x:v>无</x:v>
      </x:c>
      <x:c r="F81" s="820" t="str">
        <x:v>本牌不得开启、延长或强化敌人/场景的写轮眼解析。阶段4角色自身红眼常驻属于形态表现，不代表本牌触发易伤解析。</x:v>
      </x:c>
      <x:c r="G81" s="820" t="str">
        <x:v>通过</x:v>
      </x:c>
      <x:c r="H81" s="820" t="str">
        <x:v>通过</x:v>
      </x:c>
      <x:c r="I81" s="1643" t="str">
        <x:v>通过</x:v>
      </x:c>
    </x:row>
    <x:row r="82" ht="42" customHeight="1">
      <x:c r="A82" s="1631" t="str">
        <x:v>Pyre</x:v>
      </x:c>
      <x:c r="B82" s="820" t="str">
        <x:v>豪龙火·雷云蓄势</x:v>
      </x:c>
      <x:c r="C82" s="820" t="str">
        <x:v>每回合开始获得1点能量。</x:v>
      </x:c>
      <x:c r="D82" s="820" t="str">
        <x:v>否</x:v>
      </x:c>
      <x:c r="E82" s="820" t="str">
        <x:v>无</x:v>
      </x:c>
      <x:c r="F82" s="820" t="str">
        <x:v>本牌不得开启、延长或强化敌人/场景的写轮眼解析。阶段4角色自身红眼常驻属于形态表现，不代表本牌触发易伤解析。</x:v>
      </x:c>
      <x:c r="G82" s="820" t="str">
        <x:v>通过</x:v>
      </x:c>
      <x:c r="H82" s="820" t="str">
        <x:v>通过</x:v>
      </x:c>
      <x:c r="I82" s="1643" t="str">
        <x:v>通过</x:v>
      </x:c>
    </x:row>
    <x:row r="83" ht="42" customHeight="1">
      <x:c r="A83" s="1631" t="str">
        <x:v>Stoke</x:v>
      </x:c>
      <x:c r="B83" s="820" t="str">
        <x:v>火遁·豪火球·炉心重铸</x:v>
      </x:c>
      <x:c r="C83" s="820" t="str">
        <x:v>消耗手牌；每消耗1张牌，加入1张随机普通牌。</x:v>
      </x:c>
      <x:c r="D83" s="820" t="str">
        <x:v>否</x:v>
      </x:c>
      <x:c r="E83" s="820" t="str">
        <x:v>无</x:v>
      </x:c>
      <x:c r="F83" s="820" t="str">
        <x:v>本牌不得开启、延长或强化敌人/场景的写轮眼解析。阶段4角色自身红眼常驻属于形态表现，不代表本牌触发易伤解析。</x:v>
      </x:c>
      <x:c r="G83" s="820" t="str">
        <x:v>通过</x:v>
      </x:c>
      <x:c r="H83" s="820" t="str">
        <x:v>通过</x:v>
      </x:c>
      <x:c r="I83" s="1643" t="str">
        <x:v>通过</x:v>
      </x:c>
    </x:row>
    <x:row r="84" ht="42" customHeight="1">
      <x:c r="A84" s="1631" t="str">
        <x:v>Tear Asunder</x:v>
      </x:c>
      <x:c r="B84" s="820" t="str">
        <x:v>羽击千鸟</x:v>
      </x:c>
      <x:c r="C84" s="820" t="str">
        <x:v>造成5点伤害；本场战斗中每次主动失去生命，额外攻击1次。</x:v>
      </x:c>
      <x:c r="D84" s="820" t="str">
        <x:v>否</x:v>
      </x:c>
      <x:c r="E84" s="820" t="str">
        <x:v>无</x:v>
      </x:c>
      <x:c r="F84" s="820" t="str">
        <x:v>本牌不得开启、延长或强化敌人/场景的写轮眼解析。阶段4角色自身红眼常驻属于形态表现，不代表本牌触发易伤解析。</x:v>
      </x:c>
      <x:c r="G84" s="820" t="str">
        <x:v>通过</x:v>
      </x:c>
      <x:c r="H84" s="820" t="str">
        <x:v>通过</x:v>
      </x:c>
      <x:c r="I84" s="1643" t="str">
        <x:v>通过</x:v>
      </x:c>
    </x:row>
    <x:row r="85" ht="42" customHeight="1">
      <x:c r="A85" s="1631" t="str">
        <x:v>Thrash</x:v>
      </x:c>
      <x:c r="B85" s="820" t="str">
        <x:v>千鸟刀·吞式</x:v>
      </x:c>
      <x:c r="C85" s="820" t="str">
        <x:v>造成4点伤害2次；随机消耗手牌中的1张攻击牌，并将其伤害加入此牌。</x:v>
      </x:c>
      <x:c r="D85" s="820" t="str">
        <x:v>否</x:v>
      </x:c>
      <x:c r="E85" s="820" t="str">
        <x:v>无</x:v>
      </x:c>
      <x:c r="F85" s="820" t="str">
        <x:v>本牌不得开启、延长或强化敌人/场景的写轮眼解析。阶段4角色自身红眼常驻属于形态表现，不代表本牌触发易伤解析。</x:v>
      </x:c>
      <x:c r="G85" s="820" t="str">
        <x:v>通过</x:v>
      </x:c>
      <x:c r="H85" s="820" t="str">
        <x:v>通过</x:v>
      </x:c>
      <x:c r="I85" s="1643" t="str">
        <x:v>通过</x:v>
      </x:c>
    </x:row>
    <x:row r="86" ht="42" customHeight="1">
      <x:c r="A86" s="1631" t="str">
        <x:v>Unmovable</x:v>
      </x:c>
      <x:c r="B86" s="820" t="str">
        <x:v>咒印二·翼盾</x:v>
      </x:c>
      <x:c r="C86" s="820" t="str">
        <x:v>每回合第一次通过卡牌获得格挡时，使该次格挡翻倍。</x:v>
      </x:c>
      <x:c r="D86" s="820" t="str">
        <x:v>否</x:v>
      </x:c>
      <x:c r="E86" s="820" t="str">
        <x:v>无</x:v>
      </x:c>
      <x:c r="F86" s="820" t="str">
        <x:v>本牌不得开启、延长或强化敌人/场景的写轮眼解析。阶段4角色自身红眼常驻属于形态表现，不代表本牌触发易伤解析。</x:v>
      </x:c>
      <x:c r="G86" s="820" t="str">
        <x:v>通过</x:v>
      </x:c>
      <x:c r="H86" s="820" t="str">
        <x:v>通过</x:v>
      </x:c>
      <x:c r="I86" s="1643" t="str">
        <x:v>通过</x:v>
      </x:c>
    </x:row>
    <x:row r="87" ht="42" customHeight="1">
      <x:c r="A87" s="1631" t="str">
        <x:v>Blaze</x:v>
      </x:c>
      <x:c r="B87" s="820" t="str">
        <x:v>火遁·查克拉传递</x:v>
      </x:c>
      <x:c r="C87" s="820" t="str">
        <x:v>给予另一名玩家5点力量。</x:v>
      </x:c>
      <x:c r="D87" s="820" t="str">
        <x:v>否</x:v>
      </x:c>
      <x:c r="E87" s="820" t="str">
        <x:v>无</x:v>
      </x:c>
      <x:c r="F87" s="820" t="str">
        <x:v>本牌不得开启、延长或强化敌人/场景的写轮眼解析。阶段4角色自身红眼常驻属于形态表现，不代表本牌触发易伤解析。</x:v>
      </x:c>
      <x:c r="G87" s="820" t="str">
        <x:v>通过</x:v>
      </x:c>
      <x:c r="H87" s="820" t="str">
        <x:v>通过</x:v>
      </x:c>
      <x:c r="I87" s="1643" t="str">
        <x:v>通过</x:v>
      </x:c>
    </x:row>
    <x:row r="88" ht="42" customHeight="1">
      <x:c r="A88" s="1631" t="str">
        <x:v>Demonic Shield</x:v>
      </x:c>
      <x:c r="B88" s="820" t="str">
        <x:v>咒印二·翼盾转护</x:v>
      </x:c>
      <x:c r="C88" s="820" t="str">
        <x:v>失去1点生命；给予另一名玩家等同于自身当前格挡的格挡；消耗。</x:v>
      </x:c>
      <x:c r="D88" s="820" t="str">
        <x:v>否</x:v>
      </x:c>
      <x:c r="E88" s="820" t="str">
        <x:v>无</x:v>
      </x:c>
      <x:c r="F88" s="820" t="str">
        <x:v>本牌不得开启、延长或强化敌人/场景的写轮眼解析。阶段4角色自身红眼常驻属于形态表现，不代表本牌触发易伤解析。</x:v>
      </x:c>
      <x:c r="G88" s="820" t="str">
        <x:v>通过</x:v>
      </x:c>
      <x:c r="H88" s="820" t="str">
        <x:v>通过</x:v>
      </x:c>
      <x:c r="I88" s="1643" t="str">
        <x:v>通过</x:v>
      </x:c>
    </x:row>
    <x:row r="89" ht="42" customHeight="1">
      <x:c r="A89" s="1631" t="str">
        <x:v>Outrage</x:v>
      </x:c>
      <x:c r="B89" s="820" t="str">
        <x:v>操手里剑·共鸣散射</x:v>
      </x:c>
      <x:c r="C89" s="820" t="str">
        <x:v>造成9点伤害；向所有玩家的弃牌堆各加入此牌的一张复制。</x:v>
      </x:c>
      <x:c r="D89" s="820" t="str">
        <x:v>否</x:v>
      </x:c>
      <x:c r="E89" s="820" t="str">
        <x:v>无</x:v>
      </x:c>
      <x:c r="F89" s="820" t="str">
        <x:v>本牌不得开启、延长或强化敌人/场景的写轮眼解析。阶段4角色自身红眼常驻属于形态表现，不代表本牌触发易伤解析。</x:v>
      </x:c>
      <x:c r="G89" s="820" t="str">
        <x:v>通过</x:v>
      </x:c>
      <x:c r="H89" s="820" t="str">
        <x:v>通过</x:v>
      </x:c>
      <x:c r="I89" s="1643" t="str">
        <x:v>通过</x:v>
      </x:c>
    </x:row>
    <x:row r="90" ht="42" customHeight="1">
      <x:c r="A90" s="1631" t="str">
        <x:v>Midnight</x:v>
      </x:c>
      <x:c r="B90" s="820" t="str">
        <x:v>麒麟</x:v>
      </x:c>
      <x:c r="C90" s="820" t="str">
        <x:v>造成60点伤害；本场战斗中所有玩家每消耗1张牌，此牌费用降低1。</x:v>
      </x:c>
      <x:c r="D90" s="820" t="str">
        <x:v>否</x:v>
      </x:c>
      <x:c r="E90" s="820" t="str">
        <x:v>无</x:v>
      </x:c>
      <x:c r="F90" s="820" t="str">
        <x:v>本牌不得开启、延长或强化敌人/场景的写轮眼解析。阶段4角色自身红眼常驻属于形态表现，不代表本牌触发易伤解析。</x:v>
      </x:c>
      <x:c r="G90" s="820" t="str">
        <x:v>通过</x:v>
      </x:c>
      <x:c r="H90" s="820" t="str">
        <x:v>通过</x:v>
      </x:c>
      <x:c r="I90" s="1643" t="str">
        <x:v>通过</x:v>
      </x:c>
    </x:row>
    <x:row r="91" ht="42" customHeight="1">
      <x:c r="A91" s="1631" t="str">
        <x:v>Tank</x:v>
      </x:c>
      <x:c r="B91" s="820" t="str">
        <x:v>咒印二·双翼庇护</x:v>
      </x:c>
      <x:c r="C91" s="820" t="str">
        <x:v>受到来自敌人的伤害提高50%；所有队友受到来自敌人的伤害降低50%。</x:v>
      </x:c>
      <x:c r="D91" s="820" t="str">
        <x:v>否</x:v>
      </x:c>
      <x:c r="E91" s="820" t="str">
        <x:v>无</x:v>
      </x:c>
      <x:c r="F91" s="820" t="str">
        <x:v>本牌不得开启、延长或强化敌人/场景的写轮眼解析。阶段4角色自身红眼常驻属于形态表现，不代表本牌触发易伤解析。</x:v>
      </x:c>
      <x:c r="G91" s="820" t="str">
        <x:v>通过</x:v>
      </x:c>
      <x:c r="H91" s="820" t="str">
        <x:v>通过</x:v>
      </x:c>
      <x:c r="I91" s="1643" t="str">
        <x:v>通过</x:v>
      </x:c>
    </x:row>
    <x:row r="92" ht="42" customHeight="1">
      <x:c r="A92" s="1644" t="str">
        <x:v>Giant Rock</x:v>
      </x:c>
      <x:c r="B92" s="1645" t="str">
        <x:v>千鸟锐枪·贯穿</x:v>
      </x:c>
      <x:c r="C92" s="1645" t="str">
        <x:v>造成20点伤害。</x:v>
      </x:c>
      <x:c r="D92" s="1645" t="str">
        <x:v>否</x:v>
      </x:c>
      <x:c r="E92" s="1645" t="str">
        <x:v>无</x:v>
      </x:c>
      <x:c r="F92" s="1645" t="str">
        <x:v>本牌不得开启、延长或强化敌人/场景的写轮眼解析。阶段4角色自身红眼常驻属于形态表现，不代表本牌触发易伤解析。</x:v>
      </x:c>
      <x:c r="G92" s="1645" t="str">
        <x:v>通过</x:v>
      </x:c>
      <x:c r="H92" s="1645" t="str">
        <x:v>通过</x:v>
      </x:c>
      <x:c r="I92" s="1646" t="str">
        <x:v>通过</x:v>
      </x:c>
    </x:row>
  </x:sheetData>
  <x:mergeCells>
    <x:mergeCell ref="A1:H1"/>
    <x:mergeCell ref="A1:I1"/>
  </x:mergeCells>
  <x:conditionalFormatting sqref="G4:H92">
    <x:cfRule type="expression" dxfId="52" priority="1">
      <x:formula>G4="失败"</x:formula>
    </x:cfRule>
    <x:cfRule type="expression" dxfId="53" priority="2">
      <x:formula>G4="通过"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6544a04a8f447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5" hidden="0" customWidth="1"/>
    <x:col min="4" max="4" width="46" hidden="0" customWidth="1"/>
    <x:col min="5" max="5" width="28" hidden="0" customWidth="1"/>
    <x:col min="6" max="6" width="34" hidden="0" customWidth="1"/>
  </x:cols>
  <x:sheetData>
    <x:row r="1">
      <x:c r="A1" s="1456" t="str">
        <x:v>佐助卡牌面板命名规范</x:v>
      </x:c>
      <x:c r="B1" s="1456"/>
      <x:c r="C1" s="1456"/>
      <x:c r="D1" s="1456"/>
      <x:c r="E1" s="1456"/>
      <x:c r="F1" s="1456"/>
    </x:row>
    <x:row r="3">
      <x:c r="A3" s="1624" t="str">
        <x:v>规则</x:v>
      </x:c>
      <x:c r="B3" s="1624" t="str">
        <x:v>基础牌</x:v>
      </x:c>
      <x:c r="C3" s="1624" t="str">
        <x:v>进阶牌</x:v>
      </x:c>
      <x:c r="D3" s="1624" t="str">
        <x:v>高阶牌</x:v>
      </x:c>
      <x:c r="E3" s="1624" t="str">
        <x:v>决战牌</x:v>
      </x:c>
      <x:c r="F3" s="1624" t="str">
        <x:v>变身/终极牌</x:v>
      </x:c>
    </x:row>
    <x:row r="4" ht="46" customHeight="1">
      <x:c r="A4" s="1657" t="str">
        <x:v>名称结构</x:v>
      </x:c>
      <x:c r="B4" s="1658" t="str">
        <x:v>原著前缀+短动作</x:v>
      </x:c>
      <x:c r="C4" s="1658" t="str">
        <x:v>能力前缀+机制词</x:v>
      </x:c>
      <x:c r="D4" s="1658" t="str">
        <x:v>完整术名或家族名+强后缀</x:v>
      </x:c>
      <x:c r="E4" s="1658" t="str">
        <x:v>保留高阶术名</x:v>
      </x:c>
      <x:c r="F4" s="1659" t="str">
        <x:v>直接使用形态/奥义名</x:v>
      </x:c>
    </x:row>
    <x:row r="5" ht="46" customHeight="1">
      <x:c r="A5" s="1660" t="str">
        <x:v>推荐长度</x:v>
      </x:c>
      <x:c r="B5" s="701" t="str">
        <x:v>4–7字</x:v>
      </x:c>
      <x:c r="C5" s="701" t="str">
        <x:v>4–9字</x:v>
      </x:c>
      <x:c r="D5" s="701" t="str">
        <x:v>5–10字</x:v>
      </x:c>
      <x:c r="E5" s="701" t="str">
        <x:v>4–10字</x:v>
      </x:c>
      <x:c r="F5" s="1661" t="str">
        <x:v>2–8字</x:v>
      </x:c>
    </x:row>
    <x:row r="6" ht="46" customHeight="1">
      <x:c r="A6" s="1660" t="str">
        <x:v>必须保留</x:v>
      </x:c>
      <x:c r="B6" s="701" t="str">
        <x:v>草薙剑、操手里剑</x:v>
      </x:c>
      <x:c r="C6" s="701" t="str">
        <x:v>千鸟、千鸟流、火遁、写轮眼、咒印</x:v>
      </x:c>
      <x:c r="D6" s="701" t="str">
        <x:v>千鸟锐枪、豪龙火、蛇术</x:v>
      </x:c>
      <x:c r="E6" s="701" t="str">
        <x:v>千鸟真枪、羽击千鸟</x:v>
      </x:c>
      <x:c r="F6" s="1661" t="str">
        <x:v>天之咒印·状态二、麒麟</x:v>
      </x:c>
    </x:row>
    <x:row r="7" ht="46" customHeight="1">
      <x:c r="A7" s="1660" t="str">
        <x:v>禁止</x:v>
      </x:c>
      <x:c r="B7" s="701" t="str">
        <x:v>只剩“斩、御”等泛词</x:v>
      </x:c>
      <x:c r="C7" s="701" t="str">
        <x:v>删除原著体系前缀</x:v>
      </x:c>
      <x:c r="D7" s="701" t="str">
        <x:v>无依据堆叠多个术系</x:v>
      </x:c>
      <x:c r="E7" s="701" t="str">
        <x:v>弱效果占用终极名</x:v>
      </x:c>
      <x:c r="F7" s="1661" t="str">
        <x:v>同名复用</x:v>
      </x:c>
    </x:row>
    <x:row r="8" ht="46" customHeight="1">
      <x:c r="A8" s="1660" t="str">
        <x:v>写轮眼</x:v>
      </x:c>
      <x:c r="B8" s="701" t="str">
        <x:v>仅易伤卡可用</x:v>
      </x:c>
      <x:c r="C8" s="701" t="str">
        <x:v>仅易伤卡可用</x:v>
      </x:c>
      <x:c r="D8" s="701" t="str">
        <x:v>仅易伤卡可用</x:v>
      </x:c>
      <x:c r="E8" s="701" t="str">
        <x:v>仅易伤卡可用</x:v>
      </x:c>
      <x:c r="F8" s="1661" t="str">
        <x:v>阶段4红眼与易伤解析分离</x:v>
      </x:c>
    </x:row>
    <x:row r="9" ht="46" customHeight="1">
      <x:c r="A9" s="1662" t="str">
        <x:v>示例</x:v>
      </x:c>
      <x:c r="B9" s="1663" t="str">
        <x:v>草薙剑·瞬斩</x:v>
      </x:c>
      <x:c r="C9" s="1663" t="str">
        <x:v>千鸟流·突围</x:v>
      </x:c>
      <x:c r="D9" s="1663" t="str">
        <x:v>千鸟流·剑刃风暴</x:v>
      </x:c>
      <x:c r="E9" s="1663" t="str">
        <x:v>千鸟真枪</x:v>
      </x:c>
      <x:c r="F9" s="1664" t="str">
        <x:v>羽击千鸟、麒麟</x:v>
      </x:c>
    </x:row>
    <x:row r="11">
      <x:c r="A11" s="1665" t="str">
        <x:v>卡牌英文名</x:v>
      </x:c>
      <x:c r="B11" s="1665" t="str">
        <x:v>最终面板名</x:v>
      </x:c>
      <x:c r="C11" s="1665" t="str">
        <x:v>强度档位</x:v>
      </x:c>
      <x:c r="D11" s="1665" t="str">
        <x:v>真实招式依据</x:v>
      </x:c>
    </x:row>
    <x:row r="12">
      <x:c r="A12" s="1666" t="str">
        <x:v>Bash</x:v>
      </x:c>
      <x:c r="B12" s="1667" t="str">
        <x:v>写轮眼·破势</x:v>
      </x:c>
      <x:c r="C12" s="1667" t="str">
        <x:v>T2 进阶</x:v>
      </x:c>
      <x:c r="D12" s="1668" t="str">
        <x:v>写轮眼</x:v>
      </x:c>
    </x:row>
    <x:row r="13">
      <x:c r="A13" s="1669" t="str">
        <x:v>Defend (Ironclad)</x:v>
      </x:c>
      <x:c r="B13" s="820" t="str">
        <x:v>草薙剑·剑御</x:v>
      </x:c>
      <x:c r="C13" s="820" t="str">
        <x:v>T1 基础</x:v>
      </x:c>
      <x:c r="D13" s="1670" t="str">
        <x:v>居合</x:v>
      </x:c>
    </x:row>
    <x:row r="14">
      <x:c r="A14" s="1669" t="str">
        <x:v>Strike (Ironclad)</x:v>
      </x:c>
      <x:c r="B14" s="820" t="str">
        <x:v>草薙剑·瞬斩</x:v>
      </x:c>
      <x:c r="C14" s="820" t="str">
        <x:v>T1 基础</x:v>
      </x:c>
      <x:c r="D14" s="1670" t="str">
        <x:v>居合</x:v>
      </x:c>
    </x:row>
    <x:row r="15">
      <x:c r="A15" s="1669" t="str">
        <x:v>Anger</x:v>
      </x:c>
      <x:c r="B15" s="820" t="str">
        <x:v>操手里剑·影袭</x:v>
      </x:c>
      <x:c r="C15" s="820" t="str">
        <x:v>T1 基础</x:v>
      </x:c>
      <x:c r="D15" s="1670" t="str">
        <x:v>操手里剑之术</x:v>
      </x:c>
    </x:row>
    <x:row r="16">
      <x:c r="A16" s="1669" t="str">
        <x:v>Armaments</x:v>
      </x:c>
      <x:c r="B16" s="820" t="str">
        <x:v>通灵·雷光剑化</x:v>
      </x:c>
      <x:c r="C16" s="820" t="str">
        <x:v>T2 进阶</x:v>
      </x:c>
      <x:c r="D16" s="1670" t="str">
        <x:v>通灵·雷光剑化</x:v>
      </x:c>
    </x:row>
    <x:row r="17">
      <x:c r="A17" s="1669" t="str">
        <x:v>Blood Wall</x:v>
      </x:c>
      <x:c r="B17" s="820" t="str">
        <x:v>咒印·血界</x:v>
      </x:c>
      <x:c r="C17" s="820" t="str">
        <x:v>T2 进阶</x:v>
      </x:c>
      <x:c r="D17" s="1670" t="str">
        <x:v>天之咒印</x:v>
      </x:c>
    </x:row>
    <x:row r="18">
      <x:c r="A18" s="1669" t="str">
        <x:v>Body Slam</x:v>
      </x:c>
      <x:c r="B18" s="820" t="str">
        <x:v>千鸟·落雷</x:v>
      </x:c>
      <x:c r="C18" s="820" t="str">
        <x:v>T2 进阶</x:v>
      </x:c>
      <x:c r="D18" s="1670" t="str">
        <x:v>千鸟·落雷</x:v>
      </x:c>
    </x:row>
    <x:row r="19">
      <x:c r="A19" s="1669" t="str">
        <x:v>Breakthrough</x:v>
      </x:c>
      <x:c r="B19" s="820" t="str">
        <x:v>千鸟流·突围</x:v>
      </x:c>
      <x:c r="C19" s="820" t="str">
        <x:v>T2 进阶</x:v>
      </x:c>
      <x:c r="D19" s="1670" t="str">
        <x:v>千鸟流</x:v>
      </x:c>
    </x:row>
    <x:row r="20">
      <x:c r="A20" s="1669" t="str">
        <x:v>Cinder</x:v>
      </x:c>
      <x:c r="B20" s="820" t="str">
        <x:v>火遁·豪火球之术·落火</x:v>
      </x:c>
      <x:c r="C20" s="820" t="str">
        <x:v>T2 进阶</x:v>
      </x:c>
      <x:c r="D20" s="1670" t="str">
        <x:v>火遁·豪火球之术·落火</x:v>
      </x:c>
    </x:row>
    <x:row r="21">
      <x:c r="A21" s="1669" t="str">
        <x:v>Havoc</x:v>
      </x:c>
      <x:c r="B21" s="820" t="str">
        <x:v>咒印·暴流</x:v>
      </x:c>
      <x:c r="C21" s="820" t="str">
        <x:v>T2 进阶</x:v>
      </x:c>
      <x:c r="D21" s="1670" t="str">
        <x:v>天之咒印</x:v>
      </x:c>
    </x:row>
    <x:row r="22">
      <x:c r="A22" s="1669" t="str">
        <x:v>Headbutt</x:v>
      </x:c>
      <x:c r="B22" s="820" t="str">
        <x:v>雷光狮子连弹·冲膝</x:v>
      </x:c>
      <x:c r="C22" s="820" t="str">
        <x:v>T1 基础</x:v>
      </x:c>
      <x:c r="D22" s="1670" t="str">
        <x:v>雷光狮子连弹</x:v>
      </x:c>
    </x:row>
    <x:row r="23">
      <x:c r="A23" s="1669" t="str">
        <x:v>Iron Wave</x:v>
      </x:c>
      <x:c r="B23" s="820" t="str">
        <x:v>草薙剑·千鸟刀</x:v>
      </x:c>
      <x:c r="C23" s="820" t="str">
        <x:v>T2 进阶</x:v>
      </x:c>
      <x:c r="D23" s="1670" t="str">
        <x:v>草薙剑·千鸟刀</x:v>
      </x:c>
    </x:row>
    <x:row r="24">
      <x:c r="A24" s="1669" t="str">
        <x:v>Molten Fist</x:v>
      </x:c>
      <x:c r="B24" s="820" t="str">
        <x:v>写轮眼·裂隙拳</x:v>
      </x:c>
      <x:c r="C24" s="820" t="str">
        <x:v>T2 进阶</x:v>
      </x:c>
      <x:c r="D24" s="1670" t="str">
        <x:v>写轮眼</x:v>
      </x:c>
    </x:row>
    <x:row r="25">
      <x:c r="A25" s="1669" t="str">
        <x:v>Perfected Strike</x:v>
      </x:c>
      <x:c r="B25" s="820" t="str">
        <x:v>草薙剑·千鸟连式</x:v>
      </x:c>
      <x:c r="C25" s="820" t="str">
        <x:v>T3 高阶</x:v>
      </x:c>
      <x:c r="D25" s="1670" t="str">
        <x:v>草薙剑·千鸟刀</x:v>
      </x:c>
    </x:row>
    <x:row r="26">
      <x:c r="A26" s="1669" t="str">
        <x:v>Pommel Strike</x:v>
      </x:c>
      <x:c r="B26" s="820" t="str">
        <x:v>草薙剑·柄击</x:v>
      </x:c>
      <x:c r="C26" s="820" t="str">
        <x:v>T1 基础</x:v>
      </x:c>
      <x:c r="D26" s="1670" t="str">
        <x:v>居合</x:v>
      </x:c>
    </x:row>
    <x:row r="27">
      <x:c r="A27" s="1669" t="str">
        <x:v>Setup Strike</x:v>
      </x:c>
      <x:c r="B27" s="820" t="str">
        <x:v>千鸟刀·蓄势</x:v>
      </x:c>
      <x:c r="C27" s="820" t="str">
        <x:v>T1 基础</x:v>
      </x:c>
      <x:c r="D27" s="1670" t="str">
        <x:v>草薙剑·千鸟刀</x:v>
      </x:c>
    </x:row>
    <x:row r="28">
      <x:c r="A28" s="1669" t="str">
        <x:v>Shrug It Off</x:v>
      </x:c>
      <x:c r="B28" s="820" t="str">
        <x:v>大蛇丸流·蜕皮</x:v>
      </x:c>
      <x:c r="C28" s="820" t="str">
        <x:v>T1 基础</x:v>
      </x:c>
      <x:c r="D28" s="1670" t="str">
        <x:v>大蛇丸流替身术</x:v>
      </x:c>
    </x:row>
    <x:row r="29">
      <x:c r="A29" s="1669" t="str">
        <x:v>Sword Boomerang</x:v>
      </x:c>
      <x:c r="B29" s="820" t="str">
        <x:v>千鸟千本</x:v>
      </x:c>
      <x:c r="C29" s="820" t="str">
        <x:v>T2 进阶</x:v>
      </x:c>
      <x:c r="D29" s="1670" t="str">
        <x:v>千鸟千本</x:v>
      </x:c>
    </x:row>
    <x:row r="30">
      <x:c r="A30" s="1669" t="str">
        <x:v>Taunt</x:v>
      </x:c>
      <x:c r="B30" s="820" t="str">
        <x:v>幻术·写轮眼</x:v>
      </x:c>
      <x:c r="C30" s="820" t="str">
        <x:v>T2 进阶</x:v>
      </x:c>
      <x:c r="D30" s="1670" t="str">
        <x:v>幻术·写轮眼</x:v>
      </x:c>
    </x:row>
    <x:row r="31">
      <x:c r="A31" s="1669" t="str">
        <x:v>Thunderclap</x:v>
      </x:c>
      <x:c r="B31" s="820" t="str">
        <x:v>千鸟流·雷震</x:v>
      </x:c>
      <x:c r="C31" s="820" t="str">
        <x:v>T2 进阶</x:v>
      </x:c>
      <x:c r="D31" s="1670" t="str">
        <x:v>千鸟流</x:v>
      </x:c>
    </x:row>
    <x:row r="32">
      <x:c r="A32" s="1669" t="str">
        <x:v>Tremble</x:v>
      </x:c>
      <x:c r="B32" s="820" t="str">
        <x:v>魔幻·枷杭之术</x:v>
      </x:c>
      <x:c r="C32" s="820" t="str">
        <x:v>T2 进阶</x:v>
      </x:c>
      <x:c r="D32" s="1670" t="str">
        <x:v>魔幻·枷杭之术</x:v>
      </x:c>
    </x:row>
    <x:row r="33">
      <x:c r="A33" s="1669" t="str">
        <x:v>True Grit</x:v>
      </x:c>
      <x:c r="B33" s="820" t="str">
        <x:v>咒印·坚忍</x:v>
      </x:c>
      <x:c r="C33" s="820" t="str">
        <x:v>T1 基础</x:v>
      </x:c>
      <x:c r="D33" s="1670" t="str">
        <x:v>天之咒印</x:v>
      </x:c>
    </x:row>
    <x:row r="34">
      <x:c r="A34" s="1669" t="str">
        <x:v>Twin Strike</x:v>
      </x:c>
      <x:c r="B34" s="820" t="str">
        <x:v>草薙剑·双闪</x:v>
      </x:c>
      <x:c r="C34" s="820" t="str">
        <x:v>T1 基础</x:v>
      </x:c>
      <x:c r="D34" s="1670" t="str">
        <x:v>居合</x:v>
      </x:c>
    </x:row>
    <x:row r="35">
      <x:c r="A35" s="1669" t="str">
        <x:v>Ashen Strike</x:v>
      </x:c>
      <x:c r="B35" s="820" t="str">
        <x:v>火遁·落火·灰烬追击</x:v>
      </x:c>
      <x:c r="C35" s="820" t="str">
        <x:v>T2 进阶</x:v>
      </x:c>
      <x:c r="D35" s="1670" t="str">
        <x:v>火遁·豪火球之术·落火</x:v>
      </x:c>
    </x:row>
    <x:row r="36">
      <x:c r="A36" s="1669" t="str">
        <x:v>Battle Trance</x:v>
      </x:c>
      <x:c r="B36" s="820" t="str">
        <x:v>雷光剑化·三器展开</x:v>
      </x:c>
      <x:c r="C36" s="820" t="str">
        <x:v>T2 进阶</x:v>
      </x:c>
      <x:c r="D36" s="1670" t="str">
        <x:v>通灵·雷光剑化</x:v>
      </x:c>
    </x:row>
    <x:row r="37">
      <x:c r="A37" s="1669" t="str">
        <x:v>Bloodletting</x:v>
      </x:c>
      <x:c r="B37" s="820" t="str">
        <x:v>咒印·血解</x:v>
      </x:c>
      <x:c r="C37" s="820" t="str">
        <x:v>T2 进阶</x:v>
      </x:c>
      <x:c r="D37" s="1670" t="str">
        <x:v>天之咒印</x:v>
      </x:c>
    </x:row>
    <x:row r="38">
      <x:c r="A38" s="1669" t="str">
        <x:v>Bludgeon</x:v>
      </x:c>
      <x:c r="B38" s="820" t="str">
        <x:v>千鸟真枪</x:v>
      </x:c>
      <x:c r="C38" s="820" t="str">
        <x:v>T4 决战</x:v>
      </x:c>
      <x:c r="D38" s="1670" t="str">
        <x:v>千鸟真枪</x:v>
      </x:c>
    </x:row>
    <x:row r="39">
      <x:c r="A39" s="1669" t="str">
        <x:v>Bully</x:v>
      </x:c>
      <x:c r="B39" s="820" t="str">
        <x:v>瞬·追隙</x:v>
      </x:c>
      <x:c r="C39" s="820" t="str">
        <x:v>T2 进阶</x:v>
      </x:c>
      <x:c r="D39" s="1670" t="str">
        <x:v>瞬</x:v>
      </x:c>
    </x:row>
    <x:row r="40">
      <x:c r="A40" s="1669" t="str">
        <x:v>Burning Pact</x:v>
      </x:c>
      <x:c r="B40" s="820" t="str">
        <x:v>咒印·献契</x:v>
      </x:c>
      <x:c r="C40" s="820" t="str">
        <x:v>T2 进阶</x:v>
      </x:c>
      <x:c r="D40" s="1670" t="str">
        <x:v>天之咒印</x:v>
      </x:c>
    </x:row>
    <x:row r="41">
      <x:c r="A41" s="1669" t="str">
        <x:v>Colossus</x:v>
      </x:c>
      <x:c r="B41" s="820" t="str">
        <x:v>写轮眼·见切</x:v>
      </x:c>
      <x:c r="C41" s="820" t="str">
        <x:v>T2 进阶</x:v>
      </x:c>
      <x:c r="D41" s="1670" t="str">
        <x:v>写轮眼</x:v>
      </x:c>
    </x:row>
    <x:row r="42">
      <x:c r="A42" s="1669" t="str">
        <x:v>Cruelty</x:v>
      </x:c>
      <x:c r="B42" s="820" t="str">
        <x:v>写轮眼·死角解析</x:v>
      </x:c>
      <x:c r="C42" s="820" t="str">
        <x:v>T3 高阶</x:v>
      </x:c>
      <x:c r="D42" s="1670" t="str">
        <x:v>写轮眼</x:v>
      </x:c>
    </x:row>
    <x:row r="43">
      <x:c r="A43" s="1669" t="str">
        <x:v>Dismantle</x:v>
      </x:c>
      <x:c r="B43" s="820" t="str">
        <x:v>草薙剑·破绽二连斩</x:v>
      </x:c>
      <x:c r="C43" s="820" t="str">
        <x:v>T2 进阶</x:v>
      </x:c>
      <x:c r="D43" s="1670" t="str">
        <x:v>居合</x:v>
      </x:c>
    </x:row>
    <x:row r="44">
      <x:c r="A44" s="1669" t="str">
        <x:v>Drum of Battle</x:v>
      </x:c>
      <x:c r="B44" s="820" t="str">
        <x:v>雷光剑化·忍具阵</x:v>
      </x:c>
      <x:c r="C44" s="820" t="str">
        <x:v>T2 进阶</x:v>
      </x:c>
      <x:c r="D44" s="1670" t="str">
        <x:v>通灵·雷光剑化</x:v>
      </x:c>
    </x:row>
    <x:row r="45">
      <x:c r="A45" s="1669" t="str">
        <x:v>Evil Eye</x:v>
      </x:c>
      <x:c r="B45" s="820" t="str">
        <x:v>大蛇丸流·二重蜕皮</x:v>
      </x:c>
      <x:c r="C45" s="820" t="str">
        <x:v>T2 进阶</x:v>
      </x:c>
      <x:c r="D45" s="1670" t="str">
        <x:v>大蛇丸流替身术</x:v>
      </x:c>
    </x:row>
    <x:row r="46">
      <x:c r="A46" s="1669" t="str">
        <x:v>Expect a Fight</x:v>
      </x:c>
      <x:c r="B46" s="820" t="str">
        <x:v>千鸟刀·连击准备</x:v>
      </x:c>
      <x:c r="C46" s="820" t="str">
        <x:v>T2 进阶</x:v>
      </x:c>
      <x:c r="D46" s="1670" t="str">
        <x:v>草薙剑·千鸟刀</x:v>
      </x:c>
    </x:row>
    <x:row r="47">
      <x:c r="A47" s="1669" t="str">
        <x:v>Feel No Pain</x:v>
      </x:c>
      <x:c r="B47" s="820" t="str">
        <x:v>咒印·痛觉遮断</x:v>
      </x:c>
      <x:c r="C47" s="820" t="str">
        <x:v>T2 进阶</x:v>
      </x:c>
      <x:c r="D47" s="1670" t="str">
        <x:v>天之咒印</x:v>
      </x:c>
    </x:row>
    <x:row r="48">
      <x:c r="A48" s="1669" t="str">
        <x:v>Fight Me!</x:v>
      </x:c>
      <x:c r="B48" s="820" t="str">
        <x:v>雷光狮子连弹·邀战</x:v>
      </x:c>
      <x:c r="C48" s="820" t="str">
        <x:v>T2 进阶</x:v>
      </x:c>
      <x:c r="D48" s="1670" t="str">
        <x:v>雷光狮子连弹</x:v>
      </x:c>
    </x:row>
    <x:row r="49">
      <x:c r="A49" s="1669" t="str">
        <x:v>Flame Barrier</x:v>
      </x:c>
      <x:c r="B49" s="820" t="str">
        <x:v>火遁·豪火球·返炎</x:v>
      </x:c>
      <x:c r="C49" s="820" t="str">
        <x:v>T2 进阶</x:v>
      </x:c>
      <x:c r="D49" s="1670" t="str">
        <x:v>火遁·豪火球之术</x:v>
      </x:c>
    </x:row>
    <x:row r="50">
      <x:c r="A50" s="1669" t="str">
        <x:v>Forgotten Ritual</x:v>
      </x:c>
      <x:c r="B50" s="820" t="str">
        <x:v>咒印·解封仪式</x:v>
      </x:c>
      <x:c r="C50" s="820" t="str">
        <x:v>T3 高阶</x:v>
      </x:c>
      <x:c r="D50" s="1670" t="str">
        <x:v>天之咒印</x:v>
      </x:c>
    </x:row>
    <x:row r="51">
      <x:c r="A51" s="1669" t="str">
        <x:v>Hemokinesis</x:v>
      </x:c>
      <x:c r="B51" s="820" t="str">
        <x:v>千鸟·血祭</x:v>
      </x:c>
      <x:c r="C51" s="820" t="str">
        <x:v>T3 高阶</x:v>
      </x:c>
      <x:c r="D51" s="1670" t="str">
        <x:v>千鸟</x:v>
      </x:c>
    </x:row>
    <x:row r="52">
      <x:c r="A52" s="1669" t="str">
        <x:v>Howl from Beyond</x:v>
      </x:c>
      <x:c r="B52" s="820" t="str">
        <x:v>潜影蛇手·蛇群再袭</x:v>
      </x:c>
      <x:c r="C52" s="820" t="str">
        <x:v>T2 进阶</x:v>
      </x:c>
      <x:c r="D52" s="1670" t="str">
        <x:v>潜影蛇手</x:v>
      </x:c>
    </x:row>
    <x:row r="53">
      <x:c r="A53" s="1669" t="str">
        <x:v>Infernal Blade</x:v>
      </x:c>
      <x:c r="B53" s="820" t="str">
        <x:v>通灵·雷光剑化·瞬装</x:v>
      </x:c>
      <x:c r="C53" s="820" t="str">
        <x:v>T2 进阶</x:v>
      </x:c>
      <x:c r="D53" s="1670" t="str">
        <x:v>通灵·雷光剑化</x:v>
      </x:c>
    </x:row>
    <x:row r="54">
      <x:c r="A54" s="1669" t="str">
        <x:v>Inferno</x:v>
      </x:c>
      <x:c r="B54" s="820" t="str">
        <x:v>火遁·豪龙火之术</x:v>
      </x:c>
      <x:c r="C54" s="820" t="str">
        <x:v>T4 决战</x:v>
      </x:c>
      <x:c r="D54" s="1670" t="str">
        <x:v>火遁·豪龙火之术</x:v>
      </x:c>
    </x:row>
    <x:row r="55">
      <x:c r="A55" s="1669" t="str">
        <x:v>Inflame</x:v>
      </x:c>
      <x:c r="B55" s="820" t="str">
        <x:v>火遁·火炎增幅</x:v>
      </x:c>
      <x:c r="C55" s="820" t="str">
        <x:v>T2 进阶</x:v>
      </x:c>
      <x:c r="D55" s="1670" t="str">
        <x:v>火遁·豪火球之术</x:v>
      </x:c>
    </x:row>
    <x:row r="56">
      <x:c r="A56" s="1669" t="str">
        <x:v>Juggling</x:v>
      </x:c>
      <x:c r="B56" s="820" t="str">
        <x:v>操手里剑·三式连携</x:v>
      </x:c>
      <x:c r="C56" s="820" t="str">
        <x:v>T2 进阶</x:v>
      </x:c>
      <x:c r="D56" s="1670" t="str">
        <x:v>操手里剑之术</x:v>
      </x:c>
    </x:row>
    <x:row r="57">
      <x:c r="A57" s="1669" t="str">
        <x:v>Pillage</x:v>
      </x:c>
      <x:c r="B57" s="820" t="str">
        <x:v>操手里剑·牵制换势</x:v>
      </x:c>
      <x:c r="C57" s="820" t="str">
        <x:v>T2 进阶</x:v>
      </x:c>
      <x:c r="D57" s="1670" t="str">
        <x:v>操手里剑之术</x:v>
      </x:c>
    </x:row>
    <x:row r="58">
      <x:c r="A58" s="1669" t="str">
        <x:v>Rage</x:v>
      </x:c>
      <x:c r="B58" s="820" t="str">
        <x:v>千鸟流·雷衣</x:v>
      </x:c>
      <x:c r="C58" s="820" t="str">
        <x:v>T2 进阶</x:v>
      </x:c>
      <x:c r="D58" s="1670" t="str">
        <x:v>千鸟流</x:v>
      </x:c>
    </x:row>
    <x:row r="59">
      <x:c r="A59" s="1669" t="str">
        <x:v>Rampage</x:v>
      </x:c>
      <x:c r="B59" s="820" t="str">
        <x:v>草薙剑·千鸟刀·连战</x:v>
      </x:c>
      <x:c r="C59" s="820" t="str">
        <x:v>T2 进阶</x:v>
      </x:c>
      <x:c r="D59" s="1670" t="str">
        <x:v>草薙剑·千鸟刀</x:v>
      </x:c>
    </x:row>
    <x:row r="60">
      <x:c r="A60" s="1669" t="str">
        <x:v>Rupture</x:v>
      </x:c>
      <x:c r="B60" s="820" t="str">
        <x:v>咒印·伤势增幅</x:v>
      </x:c>
      <x:c r="C60" s="820" t="str">
        <x:v>T3 高阶</x:v>
      </x:c>
      <x:c r="D60" s="1670" t="str">
        <x:v>天之咒印</x:v>
      </x:c>
    </x:row>
    <x:row r="61">
      <x:c r="A61" s="1669" t="str">
        <x:v>Second Wind</x:v>
      </x:c>
      <x:c r="B61" s="820" t="str">
        <x:v>大蛇丸流替身术</x:v>
      </x:c>
      <x:c r="C61" s="820" t="str">
        <x:v>T3 高阶</x:v>
      </x:c>
      <x:c r="D61" s="1670" t="str">
        <x:v>大蛇丸流替身术</x:v>
      </x:c>
    </x:row>
    <x:row r="62">
      <x:c r="A62" s="1669" t="str">
        <x:v>Spite</x:v>
      </x:c>
      <x:c r="B62" s="820" t="str">
        <x:v>咒印·怨恨追击</x:v>
      </x:c>
      <x:c r="C62" s="820" t="str">
        <x:v>T2 进阶</x:v>
      </x:c>
      <x:c r="D62" s="1670" t="str">
        <x:v>天之咒印</x:v>
      </x:c>
    </x:row>
    <x:row r="63">
      <x:c r="A63" s="1669" t="str">
        <x:v>Stampede</x:v>
      </x:c>
      <x:c r="B63" s="820" t="str">
        <x:v>咒印二·飞翔</x:v>
      </x:c>
      <x:c r="C63" s="820" t="str">
        <x:v>T3 高阶</x:v>
      </x:c>
      <x:c r="D63" s="1670" t="str">
        <x:v>飞翔</x:v>
      </x:c>
    </x:row>
    <x:row r="64">
      <x:c r="A64" s="1669" t="str">
        <x:v>Stomp</x:v>
      </x:c>
      <x:c r="B64" s="820" t="str">
        <x:v>千鸟·落雷·震地</x:v>
      </x:c>
      <x:c r="C64" s="820" t="str">
        <x:v>T2 进阶</x:v>
      </x:c>
      <x:c r="D64" s="1670" t="str">
        <x:v>千鸟·落雷</x:v>
      </x:c>
    </x:row>
    <x:row r="65">
      <x:c r="A65" s="1669" t="str">
        <x:v>Stone Armor</x:v>
      </x:c>
      <x:c r="B65" s="820" t="str">
        <x:v>蛇蜕·硬化</x:v>
      </x:c>
      <x:c r="C65" s="820" t="str">
        <x:v>T2 进阶</x:v>
      </x:c>
      <x:c r="D65" s="1670" t="str">
        <x:v>大蛇丸流替身术</x:v>
      </x:c>
    </x:row>
    <x:row r="66">
      <x:c r="A66" s="1669" t="str">
        <x:v>Unrelenting</x:v>
      </x:c>
      <x:c r="B66" s="820" t="str">
        <x:v>千鸟锐枪</x:v>
      </x:c>
      <x:c r="C66" s="820" t="str">
        <x:v>T3 高阶</x:v>
      </x:c>
      <x:c r="D66" s="1670" t="str">
        <x:v>千鸟锐枪</x:v>
      </x:c>
    </x:row>
    <x:row r="67">
      <x:c r="A67" s="1669" t="str">
        <x:v>Uppercut</x:v>
      </x:c>
      <x:c r="B67" s="820" t="str">
        <x:v>雷光狮子连弹·破势</x:v>
      </x:c>
      <x:c r="C67" s="820" t="str">
        <x:v>T2 进阶</x:v>
      </x:c>
      <x:c r="D67" s="1670" t="str">
        <x:v>雷光狮子连弹</x:v>
      </x:c>
    </x:row>
    <x:row r="68">
      <x:c r="A68" s="1669" t="str">
        <x:v>Vicious</x:v>
      </x:c>
      <x:c r="B68" s="820" t="str">
        <x:v>写轮眼·弱点追读</x:v>
      </x:c>
      <x:c r="C68" s="820" t="str">
        <x:v>T2 进阶</x:v>
      </x:c>
      <x:c r="D68" s="1670" t="str">
        <x:v>写轮眼</x:v>
      </x:c>
    </x:row>
    <x:row r="69">
      <x:c r="A69" s="1669" t="str">
        <x:v>Whirlwind</x:v>
      </x:c>
      <x:c r="B69" s="820" t="str">
        <x:v>千鸟流·剑刃风暴</x:v>
      </x:c>
      <x:c r="C69" s="820" t="str">
        <x:v>T3 高阶</x:v>
      </x:c>
      <x:c r="D69" s="1670" t="str">
        <x:v>千鸟流</x:v>
      </x:c>
    </x:row>
    <x:row r="70">
      <x:c r="A70" s="1669" t="str">
        <x:v>Aggression</x:v>
      </x:c>
      <x:c r="B70" s="820" t="str">
        <x:v>千鸟刀·战法重铸</x:v>
      </x:c>
      <x:c r="C70" s="820" t="str">
        <x:v>T3 高阶</x:v>
      </x:c>
      <x:c r="D70" s="1670" t="str">
        <x:v>草薙剑·千鸟刀</x:v>
      </x:c>
    </x:row>
    <x:row r="71">
      <x:c r="A71" s="1669" t="str">
        <x:v>Barricade</x:v>
      </x:c>
      <x:c r="B71" s="820" t="str">
        <x:v>蛇睨咒缚·防御阵</x:v>
      </x:c>
      <x:c r="C71" s="820" t="str">
        <x:v>T3 高阶</x:v>
      </x:c>
      <x:c r="D71" s="1670" t="str">
        <x:v>蛇睨咒缚</x:v>
      </x:c>
    </x:row>
    <x:row r="72">
      <x:c r="A72" s="1669" t="str">
        <x:v>Brand</x:v>
      </x:c>
      <x:c r="B72" s="820" t="str">
        <x:v>天之咒印</x:v>
      </x:c>
      <x:c r="C72" s="820" t="str">
        <x:v>T3 高阶</x:v>
      </x:c>
      <x:c r="D72" s="1670" t="str">
        <x:v>天之咒印</x:v>
      </x:c>
    </x:row>
    <x:row r="73">
      <x:c r="A73" s="1669" t="str">
        <x:v>Cascade</x:v>
      </x:c>
      <x:c r="B73" s="820" t="str">
        <x:v>咒印·连锁释放</x:v>
      </x:c>
      <x:c r="C73" s="820" t="str">
        <x:v>T3 高阶</x:v>
      </x:c>
      <x:c r="D73" s="1670" t="str">
        <x:v>天之咒印</x:v>
      </x:c>
    </x:row>
    <x:row r="74">
      <x:c r="A74" s="1669" t="str">
        <x:v>Conflagration</x:v>
      </x:c>
      <x:c r="B74" s="820" t="str">
        <x:v>火遁·凤仙火之术</x:v>
      </x:c>
      <x:c r="C74" s="820" t="str">
        <x:v>T3 高阶</x:v>
      </x:c>
      <x:c r="D74" s="1670" t="str">
        <x:v>火遁·凤仙火之术</x:v>
      </x:c>
    </x:row>
    <x:row r="75">
      <x:c r="A75" s="1669" t="str">
        <x:v>Crimson Mantle</x:v>
      </x:c>
      <x:c r="B75" s="820" t="str">
        <x:v>咒印·查克拉外衣</x:v>
      </x:c>
      <x:c r="C75" s="820" t="str">
        <x:v>T3 高阶</x:v>
      </x:c>
      <x:c r="D75" s="1670" t="str">
        <x:v>天之咒印</x:v>
      </x:c>
    </x:row>
    <x:row r="76">
      <x:c r="A76" s="1669" t="str">
        <x:v>Dark Embrace</x:v>
      </x:c>
      <x:c r="B76" s="820" t="str">
        <x:v>咒印·吞噬回流</x:v>
      </x:c>
      <x:c r="C76" s="820" t="str">
        <x:v>T3 高阶</x:v>
      </x:c>
      <x:c r="D76" s="1670" t="str">
        <x:v>天之咒印</x:v>
      </x:c>
    </x:row>
    <x:row r="77">
      <x:c r="A77" s="1669" t="str">
        <x:v>Demon Form</x:v>
      </x:c>
      <x:c r="B77" s="820" t="str">
        <x:v>天之咒印·状态二</x:v>
      </x:c>
      <x:c r="C77" s="820" t="str">
        <x:v>T5 变身/终极</x:v>
      </x:c>
      <x:c r="D77" s="1670" t="str">
        <x:v>天之咒印·状态二</x:v>
      </x:c>
    </x:row>
    <x:row r="78">
      <x:c r="A78" s="1669" t="str">
        <x:v>Dominate</x:v>
      </x:c>
      <x:c r="B78" s="820" t="str">
        <x:v>写轮眼·支配破绽</x:v>
      </x:c>
      <x:c r="C78" s="820" t="str">
        <x:v>T4 决战</x:v>
      </x:c>
      <x:c r="D78" s="1670" t="str">
        <x:v>写轮眼</x:v>
      </x:c>
    </x:row>
    <x:row r="79">
      <x:c r="A79" s="1669" t="str">
        <x:v>Feed</x:v>
      </x:c>
      <x:c r="B79" s="820" t="str">
        <x:v>万蛇·吞噬</x:v>
      </x:c>
      <x:c r="C79" s="820" t="str">
        <x:v>T3 高阶</x:v>
      </x:c>
      <x:c r="D79" s="1670" t="str">
        <x:v>通灵之术（万蛇）</x:v>
      </x:c>
    </x:row>
    <x:row r="80">
      <x:c r="A80" s="1669" t="str">
        <x:v>Fiend Fire</x:v>
      </x:c>
      <x:c r="B80" s="820" t="str">
        <x:v>豪龙火·咒印连弹</x:v>
      </x:c>
      <x:c r="C80" s="820" t="str">
        <x:v>T4 决战</x:v>
      </x:c>
      <x:c r="D80" s="1670" t="str">
        <x:v>火遁·豪龙火之术</x:v>
      </x:c>
    </x:row>
    <x:row r="81">
      <x:c r="A81" s="1669" t="str">
        <x:v>Hellraiser</x:v>
      </x:c>
      <x:c r="B81" s="820" t="str">
        <x:v>草薙剑·千鸟刀·乱舞</x:v>
      </x:c>
      <x:c r="C81" s="820" t="str">
        <x:v>T3 高阶</x:v>
      </x:c>
      <x:c r="D81" s="1670" t="str">
        <x:v>草薙剑·千鸟刀</x:v>
      </x:c>
    </x:row>
    <x:row r="82">
      <x:c r="A82" s="1669" t="str">
        <x:v>Impervious</x:v>
      </x:c>
      <x:c r="B82" s="820" t="str">
        <x:v>咒印二·双翼防御</x:v>
      </x:c>
      <x:c r="C82" s="820" t="str">
        <x:v>T4 决战</x:v>
      </x:c>
      <x:c r="D82" s="1670" t="str">
        <x:v>天之咒印·状态二</x:v>
      </x:c>
    </x:row>
    <x:row r="83">
      <x:c r="A83" s="1669" t="str">
        <x:v>Juggernaut</x:v>
      </x:c>
      <x:c r="B83" s="820" t="str">
        <x:v>千鸟流·雷铠反震</x:v>
      </x:c>
      <x:c r="C83" s="820" t="str">
        <x:v>T3 高阶</x:v>
      </x:c>
      <x:c r="D83" s="1670" t="str">
        <x:v>千鸟流</x:v>
      </x:c>
    </x:row>
    <x:row r="84">
      <x:c r="A84" s="1669" t="str">
        <x:v>Mangle</x:v>
      </x:c>
      <x:c r="B84" s="820" t="str">
        <x:v>千鸟·查克拉刀</x:v>
      </x:c>
      <x:c r="C84" s="820" t="str">
        <x:v>T3 高阶</x:v>
      </x:c>
      <x:c r="D84" s="1670" t="str">
        <x:v>千鸟·查克拉刀</x:v>
      </x:c>
    </x:row>
    <x:row r="85">
      <x:c r="A85" s="1669" t="str">
        <x:v>Not Yet</x:v>
      </x:c>
      <x:c r="B85" s="820" t="str">
        <x:v>白蛇之力</x:v>
      </x:c>
      <x:c r="C85" s="820" t="str">
        <x:v>T3 高阶</x:v>
      </x:c>
      <x:c r="D85" s="1670" t="str">
        <x:v>白蛇之力</x:v>
      </x:c>
    </x:row>
    <x:row r="86">
      <x:c r="A86" s="1669" t="str">
        <x:v>Offering</x:v>
      </x:c>
      <x:c r="B86" s="820" t="str">
        <x:v>咒印·禁忌解放</x:v>
      </x:c>
      <x:c r="C86" s="820" t="str">
        <x:v>T4 决战</x:v>
      </x:c>
      <x:c r="D86" s="1670" t="str">
        <x:v>天之咒印</x:v>
      </x:c>
    </x:row>
    <x:row r="87">
      <x:c r="A87" s="1669" t="str">
        <x:v>One-Two Punch</x:v>
      </x:c>
      <x:c r="B87" s="820" t="str">
        <x:v>雷光狮子连弹·二段追击</x:v>
      </x:c>
      <x:c r="C87" s="820" t="str">
        <x:v>T3 高阶</x:v>
      </x:c>
      <x:c r="D87" s="1670" t="str">
        <x:v>雷光狮子连弹</x:v>
      </x:c>
    </x:row>
    <x:row r="88">
      <x:c r="A88" s="1669" t="str">
        <x:v>Pact's End</x:v>
      </x:c>
      <x:c r="B88" s="820" t="str">
        <x:v>豪龙火·雷云引动</x:v>
      </x:c>
      <x:c r="C88" s="820" t="str">
        <x:v>T4 决战</x:v>
      </x:c>
      <x:c r="D88" s="1670" t="str">
        <x:v>火遁·豪龙火之术</x:v>
      </x:c>
    </x:row>
    <x:row r="89">
      <x:c r="A89" s="1669" t="str">
        <x:v>Primal Force</x:v>
      </x:c>
      <x:c r="B89" s="820" t="str">
        <x:v>千鸟锐枪·查克拉压缩</x:v>
      </x:c>
      <x:c r="C89" s="820" t="str">
        <x:v>T3 高阶</x:v>
      </x:c>
      <x:c r="D89" s="1670" t="str">
        <x:v>千鸟锐枪</x:v>
      </x:c>
    </x:row>
    <x:row r="90">
      <x:c r="A90" s="1669" t="str">
        <x:v>Pyre</x:v>
      </x:c>
      <x:c r="B90" s="820" t="str">
        <x:v>豪龙火·雷云蓄势</x:v>
      </x:c>
      <x:c r="C90" s="820" t="str">
        <x:v>T3 高阶</x:v>
      </x:c>
      <x:c r="D90" s="1670" t="str">
        <x:v>火遁·豪龙火之术</x:v>
      </x:c>
    </x:row>
    <x:row r="91">
      <x:c r="A91" s="1669" t="str">
        <x:v>Stoke</x:v>
      </x:c>
      <x:c r="B91" s="820" t="str">
        <x:v>火遁·豪火球·炉心重铸</x:v>
      </x:c>
      <x:c r="C91" s="820" t="str">
        <x:v>T3 高阶</x:v>
      </x:c>
      <x:c r="D91" s="1670" t="str">
        <x:v>火遁·豪火球之术</x:v>
      </x:c>
    </x:row>
    <x:row r="92">
      <x:c r="A92" s="1669" t="str">
        <x:v>Tear Asunder</x:v>
      </x:c>
      <x:c r="B92" s="820" t="str">
        <x:v>羽击千鸟</x:v>
      </x:c>
      <x:c r="C92" s="820" t="str">
        <x:v>T5 变身/终极</x:v>
      </x:c>
      <x:c r="D92" s="1670" t="str">
        <x:v>羽击千鸟</x:v>
      </x:c>
    </x:row>
    <x:row r="93">
      <x:c r="A93" s="1669" t="str">
        <x:v>Thrash</x:v>
      </x:c>
      <x:c r="B93" s="820" t="str">
        <x:v>千鸟刀·吞式</x:v>
      </x:c>
      <x:c r="C93" s="820" t="str">
        <x:v>T3 高阶</x:v>
      </x:c>
      <x:c r="D93" s="1670" t="str">
        <x:v>草薙剑·千鸟刀</x:v>
      </x:c>
    </x:row>
    <x:row r="94">
      <x:c r="A94" s="1669" t="str">
        <x:v>Unmovable</x:v>
      </x:c>
      <x:c r="B94" s="820" t="str">
        <x:v>咒印二·翼盾</x:v>
      </x:c>
      <x:c r="C94" s="820" t="str">
        <x:v>T4 决战</x:v>
      </x:c>
      <x:c r="D94" s="1670" t="str">
        <x:v>天之咒印·状态二</x:v>
      </x:c>
    </x:row>
    <x:row r="95">
      <x:c r="A95" s="1669" t="str">
        <x:v>Blaze</x:v>
      </x:c>
      <x:c r="B95" s="820" t="str">
        <x:v>火遁·查克拉传递</x:v>
      </x:c>
      <x:c r="C95" s="820" t="str">
        <x:v>T2 进阶</x:v>
      </x:c>
      <x:c r="D95" s="1670" t="str">
        <x:v>火遁·豪火球之术</x:v>
      </x:c>
    </x:row>
    <x:row r="96">
      <x:c r="A96" s="1669" t="str">
        <x:v>Demonic Shield</x:v>
      </x:c>
      <x:c r="B96" s="820" t="str">
        <x:v>咒印二·翼盾转护</x:v>
      </x:c>
      <x:c r="C96" s="820" t="str">
        <x:v>T3 高阶</x:v>
      </x:c>
      <x:c r="D96" s="1670" t="str">
        <x:v>天之咒印·状态二</x:v>
      </x:c>
    </x:row>
    <x:row r="97">
      <x:c r="A97" s="1669" t="str">
        <x:v>Outrage</x:v>
      </x:c>
      <x:c r="B97" s="820" t="str">
        <x:v>操手里剑·共鸣散射</x:v>
      </x:c>
      <x:c r="C97" s="820" t="str">
        <x:v>T3 高阶</x:v>
      </x:c>
      <x:c r="D97" s="1670" t="str">
        <x:v>操手里剑之术</x:v>
      </x:c>
    </x:row>
    <x:row r="98">
      <x:c r="A98" s="1669" t="str">
        <x:v>Midnight</x:v>
      </x:c>
      <x:c r="B98" s="820" t="str">
        <x:v>麒麟</x:v>
      </x:c>
      <x:c r="C98" s="820" t="str">
        <x:v>T5 变身/终极</x:v>
      </x:c>
      <x:c r="D98" s="1670" t="str">
        <x:v>麒麟</x:v>
      </x:c>
    </x:row>
    <x:row r="99">
      <x:c r="A99" s="1669" t="str">
        <x:v>Tank</x:v>
      </x:c>
      <x:c r="B99" s="820" t="str">
        <x:v>咒印二·双翼庇护</x:v>
      </x:c>
      <x:c r="C99" s="820" t="str">
        <x:v>T4 决战</x:v>
      </x:c>
      <x:c r="D99" s="1670" t="str">
        <x:v>天之咒印·状态二</x:v>
      </x:c>
    </x:row>
    <x:row r="100">
      <x:c r="A100" s="1671" t="str">
        <x:v>Giant Rock</x:v>
      </x:c>
      <x:c r="B100" s="1672" t="str">
        <x:v>千鸟锐枪·贯穿</x:v>
      </x:c>
      <x:c r="C100" s="1672" t="str">
        <x:v>T3 高阶</x:v>
      </x:c>
      <x:c r="D100" s="1673" t="str">
        <x:v>千鸟锐枪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375b685a6f8424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58" hidden="0" customWidth="1"/>
    <x:col min="4" max="4" width="32" hidden="0" customWidth="1"/>
    <x:col min="5" max="5" width="52" hidden="0" customWidth="1"/>
    <x:col min="6" max="6" width="58" hidden="0" customWidth="1"/>
  </x:cols>
  <x:sheetData>
    <x:row r="1">
      <x:c r="A1" s="1615" t="str">
        <x:v>限定时期真实招式目录复核变更</x:v>
      </x:c>
      <x:c r="B1" s="1615"/>
      <x:c r="C1" s="1615"/>
      <x:c r="D1" s="1615"/>
      <x:c r="E1" s="1615"/>
      <x:c r="F1" s="1615"/>
    </x:row>
    <x:row r="3">
      <x:c r="A3" s="1784" t="str">
        <x:v>补回招式</x:v>
      </x:c>
      <x:c r="B3" s="1785" t="str">
        <x:v>补回原因</x:v>
      </x:c>
      <x:c r="C3" s="1785" t="str">
        <x:v>实际使用阶段</x:v>
      </x:c>
      <x:c r="D3" s="1785" t="str">
        <x:v>当前映射卡牌</x:v>
      </x:c>
      <x:c r="E3" s="1785" t="str">
        <x:v>证据URL</x:v>
      </x:c>
      <x:c r="F3" s="1786" t="str">
        <x:v>对面板命名的影响</x:v>
      </x:c>
    </x:row>
    <x:row r="4" ht="70" customHeight="1">
      <x:c r="A4" s="1787" t="str">
        <x:v>千鸟·查克拉刀</x:v>
      </x:c>
      <x:c r="B4" s="573" t="str">
        <x:v>上一版目录遗漏；本次按原作/明确版本游戏动作重新核验后补回。</x:v>
      </x:c>
      <x:c r="C4" s="573" t="str">
        <x:v>《究极风暴》咒印二佐助的体术、剑术与千鸟锐枪组合动作。</x:v>
      </x:c>
      <x:c r="D4" s="573" t="str">
        <x:v>Mangle</x:v>
      </x:c>
      <x:c r="E4" s="573" t="str">
        <x:v>https://naruto.fandom.com/wiki/Chidori%3A_Chakra_Blade</x:v>
      </x:c>
      <x:c r="F4" s="1788" t="str">
        <x:v>Mangle 改为咒印二游戏正式招式“千鸟·查克拉刀”。</x:v>
      </x:c>
    </x:row>
    <x:row r="5" ht="70" customHeight="1">
      <x:c r="A5" s="1787" t="str">
        <x:v>千鸟千本</x:v>
      </x:c>
      <x:c r="B5" s="573" t="str">
        <x:v>上一版目录遗漏；本次按原作/明确版本游戏动作重新核验后补回。</x:v>
      </x:c>
      <x:c r="C5" s="573" t="str">
        <x:v>白衣/Hebi对迪达拉战实际使用，首次出现于漫画第357话。</x:v>
      </x:c>
      <x:c r="D5" s="573" t="str">
        <x:v>Sword Boomerang</x:v>
      </x:c>
      <x:c r="E5" s="573" t="str">
        <x:v>https://naruto.fandom.com/wiki/Chidori_Senbon</x:v>
      </x:c>
      <x:c r="F5" s="1788" t="str">
        <x:v>Sword Boomerang 改为“千鸟千本”，恢复白衣/Hebi代表性远程雷遁。</x:v>
      </x:c>
    </x:row>
    <x:row r="6" ht="70" customHeight="1">
      <x:c r="A6" s="1787" t="str">
        <x:v>火遁·豪火球之术·落火</x:v>
      </x:c>
      <x:c r="B6" s="573" t="str">
        <x:v>上一版目录遗漏；本次按原作/明确版本游戏动作重新核验后补回。</x:v>
      </x:c>
      <x:c r="C6" s="573" t="str">
        <x:v>《究极风暴》白衣/Hebi佐助的剑术连段收尾招式。</x:v>
      </x:c>
      <x:c r="D6" s="573" t="str">
        <x:v>Cinder、Ashen Strike</x:v>
      </x:c>
      <x:c r="E6" s="573" t="str">
        <x:v>https://naruto.fandom.com/wiki/Fire_Release%3A_Great_Fireball_Technique%3A_Falling_Fire</x:v>
      </x:c>
      <x:c r="F6" s="1788" t="str">
        <x:v>Cinder 改为正式招式“火遁·豪火球之术·落火”。</x:v>
      </x:c>
    </x:row>
    <x:row r="7" ht="70" customHeight="1">
      <x:c r="A7" s="1787" t="str">
        <x:v>火遁·龙火之术</x:v>
      </x:c>
      <x:c r="B7" s="573" t="str">
        <x:v>上一版目录遗漏；本次按原作/明确版本游戏动作重新核验后补回。</x:v>
      </x:c>
      <x:c r="C7" s="573" t="str">
        <x:v>《究极风暴》白衣/Hebi佐助可装备并实际使用的远程火遁。</x:v>
      </x:c>
      <x:c r="D7" s="573" t="str">
        <x:v>Conflagration</x:v>
      </x:c>
      <x:c r="E7" s="573" t="str">
        <x:v>https://naruto-ultimate-ninja-storm.fandom.com/wiki/Sasuke_Uchiha/Move_List</x:v>
      </x:c>
      <x:c r="F7" s="1788" t="str">
        <x:v>Conflagration 改为“火遁·龙火之术”。</x:v>
      </x:c>
    </x:row>
    <x:row r="8" ht="70" customHeight="1">
      <x:c r="A8" s="1787" t="str">
        <x:v>通灵之术（万蛇）</x:v>
      </x:c>
      <x:c r="B8" s="573" t="str">
        <x:v>上一版目录遗漏；本次按原作/明确版本游戏动作重新核验后补回。</x:v>
      </x:c>
      <x:c r="C8" s="573" t="str">
        <x:v>白衣/Hebi对迪达拉战末尾实际召唤万蛇抵挡C0爆炸并逃生。</x:v>
      </x:c>
      <x:c r="D8" s="573" t="str">
        <x:v>Feed</x:v>
      </x:c>
      <x:c r="E8" s="573" t="str">
        <x:v>https://naruto.fandom.com/wiki/Manda</x:v>
      </x:c>
      <x:c r="F8" s="1788" t="str">
        <x:v>Feed 改为“万蛇·吞噬”，真实依据为对迪达拉战召唤万蛇。</x:v>
      </x:c>
    </x:row>
    <x:row r="9" ht="70" customHeight="1">
      <x:c r="A9" s="1787" t="str">
        <x:v>飞翔</x:v>
      </x:c>
      <x:c r="B9" s="573" t="str">
        <x:v>上一版目录遗漏；本次按原作/明确版本游戏动作重新核验后补回。</x:v>
      </x:c>
      <x:c r="C9" s="573" t="str">
        <x:v>咒印二佐助以拳脚、翼击和雷遁附剑完成的飞行连段。</x:v>
      </x:c>
      <x:c r="D9" s="573" t="str">
        <x:v>Stampede</x:v>
      </x:c>
      <x:c r="E9" s="573" t="str">
        <x:v>https://naruto.fandom.com/wiki/Flight</x:v>
      </x:c>
      <x:c r="F9" s="1788" t="str">
        <x:v>Stampede 改为“咒印二·飞翔”。</x:v>
      </x:c>
    </x:row>
    <x:row r="10" ht="70" customHeight="1">
      <x:c r="A10" s="1787" t="str">
        <x:v>白蛇之力</x:v>
      </x:c>
      <x:c r="B10" s="573" t="str">
        <x:v>Web复核发现遗漏；这是佐助吸收大蛇丸后在限定时期真实拥有的恢复能力。</x:v>
      </x:c>
      <x:c r="C10" s="573" t="str">
        <x:v>白衣/Hebi与兄弟之战；加速恢复，并通过蜕皮逃离天照。</x:v>
      </x:c>
      <x:c r="D10" s="573" t="str">
        <x:v>Not Yet</x:v>
      </x:c>
      <x:c r="E10" s="573" t="str">
        <x:v>https://naruto.fandom.com/wiki/Power_of_the_White_Snake</x:v>
      </x:c>
      <x:c r="F10" s="1788" t="str">
        <x:v>Not Yet 改为正式能力名“白蛇之力”，比“蜕皮再生”更准确。</x:v>
      </x:c>
    </x:row>
    <x:row r="11" ht="70" customHeight="1">
      <x:c r="A11" s="1789" t="str">
        <x:v>火遁·凤仙火之术</x:v>
      </x:c>
      <x:c r="B11" s="1790" t="str">
        <x:v>Web复核发现遗漏；官方游戏资料确认是佐助招式，Storm 2招式表归入白衣/Hebi咒印二投射动作。</x:v>
      </x:c>
      <x:c r="C11" s="1790" t="str">
        <x:v>究极风暴白衣/Hebi咒印二游戏动作；目标形态归属置信度中等。</x:v>
      </x:c>
      <x:c r="D11" s="1790" t="str">
        <x:v>Conflagration</x:v>
      </x:c>
      <x:c r="E11" s="1790" t="str">
        <x:v>https://naruto-ultimate-ninja-storm.fandom.com/wiki/Fire_Style%3A_Phoenix_Flower_Jutsu_%28Ninjutsu%29</x:v>
      </x:c>
      <x:c r="F11" s="1791" t="str">
        <x:v>Conflagration 从“龙火之术”调整为更符合多段小火球效果的“凤仙火之术”。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976b2f9dfdb478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5" hidden="0" customWidth="1"/>
    <x:col min="4" max="4" width="58" hidden="0" customWidth="1"/>
    <x:col min="5" max="5" width="34" hidden="0" customWidth="1"/>
    <x:col min="6" max="6" width="22" hidden="0" customWidth="1"/>
    <x:col min="7" max="7" width="58" hidden="0" customWidth="1"/>
    <x:col min="8" max="8" width="48" hidden="0" customWidth="1"/>
  </x:cols>
  <x:sheetData>
    <x:row r="1">
      <x:c r="A1" s="1794" t="str">
        <x:v>限定时期真实招式 Web 遗漏复核</x:v>
      </x:c>
      <x:c r="B1" s="1794"/>
      <x:c r="C1" s="1794"/>
      <x:c r="D1" s="1794"/>
      <x:c r="E1" s="1794"/>
      <x:c r="F1" s="1794"/>
      <x:c r="G1" s="1794"/>
      <x:c r="H1" s="1794"/>
    </x:row>
    <x:row r="3">
      <x:c r="A3" s="1803" t="str">
        <x:v>项目</x:v>
      </x:c>
      <x:c r="B3" s="1804" t="str">
        <x:v>判断</x:v>
      </x:c>
      <x:c r="C3" s="1804" t="str">
        <x:v>类型</x:v>
      </x:c>
      <x:c r="D3" s="1804" t="str">
        <x:v>限定时期结论</x:v>
      </x:c>
      <x:c r="E3" s="1804" t="str">
        <x:v>处理结果</x:v>
      </x:c>
      <x:c r="F3" s="1804" t="str">
        <x:v>对应卡牌</x:v>
      </x:c>
      <x:c r="G3" s="1804" t="str">
        <x:v>证据URL</x:v>
      </x:c>
      <x:c r="H3" s="1805" t="str">
        <x:v>备注</x:v>
      </x:c>
    </x:row>
    <x:row r="4" ht="66" customHeight="1">
      <x:c r="A4" s="1787" t="str">
        <x:v>白蛇之力</x:v>
      </x:c>
      <x:c r="B4" s="573" t="str">
        <x:v>确认遗漏</x:v>
      </x:c>
      <x:c r="C4" s="573" t="str">
        <x:v>原作真实能力</x:v>
      </x:c>
      <x:c r="D4" s="573" t="str">
        <x:v>吸收大蛇丸后在白衣/Hebi与兄弟之战期间真实拥有并表现。</x:v>
      </x:c>
      <x:c r="E4" s="573" t="str">
        <x:v>新增到目录并映射</x:v>
      </x:c>
      <x:c r="F4" s="573" t="str">
        <x:v>Not Yet</x:v>
      </x:c>
      <x:c r="G4" s="573" t="str">
        <x:v>https://naruto.fandom.com/wiki/Power_of_the_White_Snake</x:v>
      </x:c>
      <x:c r="H4" s="1788" t="str">
        <x:v>真实能力，不是独立攻击术；目录本来就包含状态/能力，因此应收录。</x:v>
      </x:c>
    </x:row>
    <x:row r="5" ht="66" customHeight="1">
      <x:c r="A5" s="1787" t="str">
        <x:v>火遁·凤仙火之术</x:v>
      </x:c>
      <x:c r="B5" s="573" t="str">
        <x:v>确认遗漏</x:v>
      </x:c>
      <x:c r="C5" s="573" t="str">
        <x:v>官方游戏招式</x:v>
      </x:c>
      <x:c r="D5" s="573" t="str">
        <x:v>招式真实性确认；白衣/Hebi咒印二归属来自Storm 2招式表，置信度中等。</x:v>
      </x:c>
      <x:c r="E5" s="573" t="str">
        <x:v>新增到目录并映射</x:v>
      </x:c>
      <x:c r="F5" s="573" t="str">
        <x:v>Conflagration</x:v>
      </x:c>
      <x:c r="G5" s="573" t="str">
        <x:v>https://naruto-ultimate-ninja-storm.fandom.com/wiki/Fire_Style%3A_Phoenix_Flower_Jutsu_%28Ninjutsu%29</x:v>
      </x:c>
      <x:c r="H5" s="1788" t="str">
        <x:v>与群体多段小伤害机制比龙火之术更吻合。</x:v>
      </x:c>
    </x:row>
    <x:row r="6" ht="66" customHeight="1">
      <x:c r="A6" s="1787" t="str">
        <x:v>Lightning Sword Transformation</x:v>
      </x:c>
      <x:c r="B6" s="573" t="str">
        <x:v>不是遗漏</x:v>
      </x:c>
      <x:c r="C6" s="573" t="str">
        <x:v>英文游戏译名</x:v>
      </x:c>
      <x:c r="D6" s="573" t="str">
        <x:v>与“通灵·雷光剑化”是同一招；英文游戏名即 Lightning Sword Transformation。</x:v>
      </x:c>
      <x:c r="E6" s="573" t="str">
        <x:v>保留现有条目，不重复新增</x:v>
      </x:c>
      <x:c r="F6" s="573" t="str">
        <x:v>—</x:v>
      </x:c>
      <x:c r="G6" s="573" t="str">
        <x:v>https://naruto.fandom.com/wiki/Summoning%3A_Lightning_Flash_Blade_Creation</x:v>
      </x:c>
      <x:c r="H6" s="1788" t="str">
        <x:v>同义名称去重。</x:v>
      </x:c>
    </x:row>
    <x:row r="7" ht="66" customHeight="1">
      <x:c r="A7" s="1787" t="str">
        <x:v>Chidori Blade / 千鸟刀</x:v>
      </x:c>
      <x:c r="B7" s="573" t="str">
        <x:v>不是独立遗漏</x:v>
      </x:c>
      <x:c r="C7" s="573" t="str">
        <x:v>简称/同系名称</x:v>
      </x:c>
      <x:c r="D7" s="573" t="str">
        <x:v>与现有“草薙剑·千鸟刀”属于同一雷遁附剑体系。</x:v>
      </x:c>
      <x:c r="E7" s="573" t="str">
        <x:v>作为别名记录，不重复建项</x:v>
      </x:c>
      <x:c r="F7" s="573" t="str">
        <x:v>—</x:v>
      </x:c>
      <x:c r="G7" s="573" t="str">
        <x:v>https://naruto-ultimate-ninja-storm.fandom.com/wiki/Sasuke_Uchiha/Move_List</x:v>
      </x:c>
      <x:c r="H7" s="1788" t="str">
        <x:v>避免把简称与完整名拆成两项。</x:v>
      </x:c>
    </x:row>
    <x:row r="8" ht="66" customHeight="1">
      <x:c r="A8" s="1787" t="str">
        <x:v>Black Chidori</x:v>
      </x:c>
      <x:c r="B8" s="573" t="str">
        <x:v>不是遗漏</x:v>
      </x:c>
      <x:c r="C8" s="573" t="str">
        <x:v>英文别名/形态变体</x:v>
      </x:c>
      <x:c r="D8" s="573" t="str">
        <x:v>对应现有“羽击千鸟”的咒印二黑色千鸟表现。</x:v>
      </x:c>
      <x:c r="E8" s="573" t="str">
        <x:v>保留羽击千鸟，不重复新增</x:v>
      </x:c>
      <x:c r="F8" s="573" t="str">
        <x:v>—</x:v>
      </x:c>
      <x:c r="G8" s="573" t="str">
        <x:v>https://naruto-ultimate-ninja-storm.fandom.com/wiki/Sasuke_Uchiha/Move_List</x:v>
      </x:c>
      <x:c r="H8" s="1788" t="str">
        <x:v>别名去重。</x:v>
      </x:c>
    </x:row>
    <x:row r="9" ht="66" customHeight="1">
      <x:c r="A9" s="1787" t="str">
        <x:v>影分身之术</x:v>
      </x:c>
      <x:c r="B9" s="573" t="str">
        <x:v>排除</x:v>
      </x:c>
      <x:c r="C9" s="573" t="str">
        <x:v>真实招式但时期不符</x:v>
      </x:c>
      <x:c r="D9" s="573" t="str">
        <x:v>资料显示佐助到成年期可稳定使用；未找到限定时期实际使用证据。</x:v>
      </x:c>
      <x:c r="E9" s="573" t="str">
        <x:v>不纳入限定时期目录</x:v>
      </x:c>
      <x:c r="F9" s="573" t="str">
        <x:v>—</x:v>
      </x:c>
      <x:c r="G9" s="573" t="str">
        <x:v>https://naruto.fandom.com/wiki/Sasuke_Uchiha</x:v>
      </x:c>
      <x:c r="H9" s="1788" t="str">
        <x:v>用户列表含佐助并不足以证明白衣/Hebi或兄弟之战使用。</x:v>
      </x:c>
    </x:row>
    <x:row r="10" ht="66" customHeight="1">
      <x:c r="A10" s="1787" t="str">
        <x:v>蛇分身之术</x:v>
      </x:c>
      <x:c r="B10" s="573" t="str">
        <x:v>排除</x:v>
      </x:c>
      <x:c r="C10" s="573" t="str">
        <x:v>真实招式但非佐助用户</x:v>
      </x:c>
      <x:c r="D10" s="573" t="str">
        <x:v>已知用户不包含佐助。</x:v>
      </x:c>
      <x:c r="E10" s="573" t="str">
        <x:v>不纳入目录</x:v>
      </x:c>
      <x:c r="F10" s="573" t="str">
        <x:v>—</x:v>
      </x:c>
      <x:c r="G10" s="573" t="str">
        <x:v>https://naruto.fandom.com/wiki/Snake_Clone_Technique</x:v>
      </x:c>
      <x:c r="H10" s="1788" t="str">
        <x:v>不能因为佐助拥有蛇系能力就推定会使用。</x:v>
      </x:c>
    </x:row>
    <x:row r="11" ht="66" customHeight="1">
      <x:c r="A11" s="1789" t="str">
        <x:v>手里剑影分身之术</x:v>
      </x:c>
      <x:c r="B11" s="1790" t="str">
        <x:v>排除</x:v>
      </x:c>
      <x:c r="C11" s="1790" t="str">
        <x:v>真实招式但非佐助用户</x:v>
      </x:c>
      <x:c r="D11" s="1790" t="str">
        <x:v>已知用户列表不包含佐助。</x:v>
      </x:c>
      <x:c r="E11" s="1790" t="str">
        <x:v>不纳入目录</x:v>
      </x:c>
      <x:c r="F11" s="1790" t="str">
        <x:v>—</x:v>
      </x:c>
      <x:c r="G11" s="1790" t="str">
        <x:v>https://naruto.fandom.com/wiki/Shuriken_Shadow_Clone_Technique</x:v>
      </x:c>
      <x:c r="H11" s="1791" t="str">
        <x:v>操手里剑之术不等于手里剑影分身之术。</x:v>
      </x:c>
    </x:row>
  </x:sheetData>
  <x:mergeCells>
    <x:mergeCell ref="A1:H1"/>
  </x:mergeCells>
  <x:conditionalFormatting sqref="B4:B11">
    <x:cfRule type="expression" dxfId="63" priority="1">
      <x:formula>B4="确认遗漏"</x:formula>
    </x:cfRule>
    <x:cfRule type="expression" dxfId="64" priority="2">
      <x:formula>B4="排除"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3200c62719465d"/>
  </x:tableParts>
</x:worksheet>
</file>